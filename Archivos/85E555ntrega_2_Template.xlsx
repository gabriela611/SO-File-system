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G:\Mi unidad\Cursos Universidades\1. EAFIT\2023-2\Ing de Sw\Plantillas\"/>
    </mc:Choice>
  </mc:AlternateContent>
  <xr:revisionPtr revIDLastSave="0" documentId="13_ncr:1_{B5854DAE-DEFE-4387-B1FB-7991BEA3248D}" xr6:coauthVersionLast="47" xr6:coauthVersionMax="47" xr10:uidLastSave="{00000000-0000-0000-0000-000000000000}"/>
  <bookViews>
    <workbookView xWindow="28680" yWindow="-120" windowWidth="29040" windowHeight="15720" tabRatio="677" xr2:uid="{00000000-000D-0000-FFFF-FFFF00000000}"/>
  </bookViews>
  <sheets>
    <sheet name="Features" sheetId="34" r:id="rId1"/>
    <sheet name="Costs" sheetId="33" r:id="rId2"/>
    <sheet name="byUncertainty" sheetId="10" state="hidden" r:id="rId3"/>
    <sheet name="byComplexity" sheetId="14" state="hidden" r:id="rId4"/>
  </sheets>
  <definedNames>
    <definedName name="_xlnm._FilterDatabase" localSheetId="0" hidden="1">Features!$A$2:$E$27</definedName>
    <definedName name="avgVelocity">#REF!</definedName>
    <definedName name="BusinessUncertainty">#REF!</definedName>
    <definedName name="exchangerate">#REF!</definedName>
    <definedName name="grades">#REF!</definedName>
    <definedName name="locations">#REF!</definedName>
    <definedName name="lst_SP_to_TShirt">#REF!</definedName>
    <definedName name="lst_TShirt_2_SP_Avg" comment="used for looking up the Most Likely Case SP sizing based on a TShirt selected by the user. this is an *average* of all Fibonaci numbers mapped to that TShirt size - we know it's NOT ideal ;) but best we can do">#REF!</definedName>
    <definedName name="lst_tshirt_bu">#REF!</definedName>
    <definedName name="lst_tshirt_tc">#REF!</definedName>
    <definedName name="rates">#REF!</definedName>
    <definedName name="stdcost">#REF!</definedName>
    <definedName name="TechnicalComplexity">#REF!</definedName>
    <definedName name="val_phases">#REF!</definedName>
    <definedName name="val_phases_all">#REF!</definedName>
    <definedName name="val_SP">#REF!</definedName>
    <definedName name="val_TShirt">#REF!</definedName>
    <definedName name="XS" localSheetId="0">Features!#REF!</definedName>
    <definedName name="X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34" l="1"/>
  <c r="C17" i="33"/>
  <c r="C10" i="33"/>
  <c r="C11" i="33"/>
  <c r="C12" i="33"/>
  <c r="C13" i="33"/>
  <c r="C24" i="33" l="1"/>
  <c r="C5" i="33"/>
</calcChain>
</file>

<file path=xl/sharedStrings.xml><?xml version="1.0" encoding="utf-8"?>
<sst xmlns="http://schemas.openxmlformats.org/spreadsheetml/2006/main" count="102" uniqueCount="66">
  <si>
    <t>Features backlog</t>
  </si>
  <si>
    <t>ID</t>
  </si>
  <si>
    <t>Backlog Item 
(Feature or Story)</t>
  </si>
  <si>
    <t>Comments</t>
  </si>
  <si>
    <t>Phase</t>
  </si>
  <si>
    <t>Story Points</t>
  </si>
  <si>
    <t>Technical Complexity</t>
  </si>
  <si>
    <t>Low</t>
  </si>
  <si>
    <t>Medium</t>
  </si>
  <si>
    <t>Feature 5</t>
  </si>
  <si>
    <t>Feature 6</t>
  </si>
  <si>
    <t>Feature 7</t>
  </si>
  <si>
    <t>High</t>
  </si>
  <si>
    <t>Feature 8</t>
  </si>
  <si>
    <t>Feature 9</t>
  </si>
  <si>
    <t>Feature 10</t>
  </si>
  <si>
    <t>Feature 11</t>
  </si>
  <si>
    <t>Feature 12</t>
  </si>
  <si>
    <t>Feature 13</t>
  </si>
  <si>
    <t>Feature 14</t>
  </si>
  <si>
    <t>Feature 15</t>
  </si>
  <si>
    <t>Feature 16</t>
  </si>
  <si>
    <t>Feature 17</t>
  </si>
  <si>
    <t>Feature 18</t>
  </si>
  <si>
    <t>Feature 19</t>
  </si>
  <si>
    <t>Feature 20</t>
  </si>
  <si>
    <t>Feature 21</t>
  </si>
  <si>
    <t>Feature 22</t>
  </si>
  <si>
    <t>Feature 23</t>
  </si>
  <si>
    <t>Total</t>
  </si>
  <si>
    <t>(All)</t>
  </si>
  <si>
    <t>%tage</t>
  </si>
  <si>
    <t>Best Case (SP)</t>
  </si>
  <si>
    <t>Most Likely (SP)</t>
  </si>
  <si>
    <t>Worst Case (SP)</t>
  </si>
  <si>
    <t>Business Uncertainty / Size</t>
  </si>
  <si>
    <t>Technical Complexity / Size</t>
  </si>
  <si>
    <t>formulario de registro de cliente</t>
  </si>
  <si>
    <t>Login</t>
  </si>
  <si>
    <t>SSO SQL</t>
  </si>
  <si>
    <t>formulario de agendamiento</t>
  </si>
  <si>
    <t>use modelo de estrellas para lavador</t>
  </si>
  <si>
    <t>Agendar citas</t>
  </si>
  <si>
    <t>Registrar cliente</t>
  </si>
  <si>
    <t>Calificar servicio</t>
  </si>
  <si>
    <r>
      <rPr>
        <b/>
        <sz val="10"/>
        <color rgb="FF000000"/>
        <rFont val="Arial"/>
        <family val="2"/>
      </rPr>
      <t>*Para</t>
    </r>
    <r>
      <rPr>
        <b/>
        <sz val="11"/>
        <color rgb="FF000000"/>
        <rFont val="Arial"/>
        <family val="2"/>
      </rPr>
      <t xml:space="preserve"> refinar el backlog, cuáles features se pueden trabajar paralelamente, cuáles dependen secuencialmente?</t>
    </r>
  </si>
  <si>
    <t>Diseñador</t>
  </si>
  <si>
    <t>Arquitecto</t>
  </si>
  <si>
    <t>Lider de proyecto</t>
  </si>
  <si>
    <t>Desarrollador</t>
  </si>
  <si>
    <t>*Recordar  holgura</t>
  </si>
  <si>
    <t>* utilizar las misma unidades, en semanas, días, horas</t>
  </si>
  <si>
    <t>*Definir el pivote, cuánto tiempo valdrá 1 punto? por ejemplo: 1 punto puede ser 1 día, pero lo definen con el equipo técnico pensando en cuanto tiempo se toma para q este culminado hasta q sea probado.</t>
  </si>
  <si>
    <t>capacitación</t>
  </si>
  <si>
    <t>Value (day)</t>
  </si>
  <si>
    <t>*Después de aplicar la técnica del planning poker incluir los story point por cada feature (esfuerzo-tiempo)</t>
  </si>
  <si>
    <t>Personal</t>
  </si>
  <si>
    <t>Development costs</t>
  </si>
  <si>
    <t>Licenciamientos</t>
  </si>
  <si>
    <t>Simuladores</t>
  </si>
  <si>
    <t>Entornos</t>
  </si>
  <si>
    <t>*que equipos o servicios adicionales se requieren</t>
  </si>
  <si>
    <t>equipos técnicos (2)</t>
  </si>
  <si>
    <t>Costs</t>
  </si>
  <si>
    <t>….otros expertos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</si>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</sst>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%"/>
    <numFmt numFmtId="167" formatCode="#,##0.0"/>
  </numFmts>
  <fonts count="3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 Narrow"/>
      <family val="2"/>
    </font>
    <font>
      <sz val="11"/>
      <color theme="1"/>
      <name val="Arial"/>
      <family val="2"/>
    </font>
    <font>
      <b/>
      <sz val="12"/>
      <color rgb="FFFFFFFF"/>
      <name val="Calibri"/>
      <family val="2"/>
      <scheme val="minor"/>
    </font>
    <font>
      <sz val="11"/>
      <name val="Centennial 45 Light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5454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 tint="-0.34998626667073579"/>
      </right>
      <top style="medium">
        <color theme="0"/>
      </top>
      <bottom style="medium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/>
      </top>
      <bottom style="medium">
        <color theme="0"/>
      </bottom>
      <diagonal/>
    </border>
    <border>
      <left style="thin">
        <color theme="0" tint="-0.34998626667073579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 tint="-0.34998626667073579"/>
      </right>
      <top/>
      <bottom style="medium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4" fontId="2" fillId="0" borderId="0" applyFont="0" applyFill="0" applyBorder="0" applyAlignment="0" applyProtection="0"/>
    <xf numFmtId="0" fontId="23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72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left" readingOrder="1"/>
    </xf>
    <xf numFmtId="0" fontId="19" fillId="0" borderId="12" xfId="0" applyFont="1" applyBorder="1"/>
    <xf numFmtId="0" fontId="19" fillId="0" borderId="11" xfId="0" applyFont="1" applyBorder="1"/>
    <xf numFmtId="0" fontId="21" fillId="0" borderId="0" xfId="0" applyFont="1"/>
    <xf numFmtId="0" fontId="19" fillId="33" borderId="0" xfId="0" applyFont="1" applyFill="1"/>
    <xf numFmtId="0" fontId="20" fillId="36" borderId="0" xfId="0" applyFont="1" applyFill="1" applyAlignment="1">
      <alignment vertical="top"/>
    </xf>
    <xf numFmtId="0" fontId="20" fillId="0" borderId="0" xfId="0" applyFont="1" applyAlignment="1">
      <alignment vertical="top"/>
    </xf>
    <xf numFmtId="0" fontId="22" fillId="37" borderId="0" xfId="0" applyFont="1" applyFill="1" applyAlignment="1">
      <alignment horizontal="center" vertical="top" wrapText="1" readingOrder="1"/>
    </xf>
    <xf numFmtId="0" fontId="22" fillId="37" borderId="0" xfId="0" applyFont="1" applyFill="1" applyAlignment="1">
      <alignment horizontal="left" vertical="top" wrapText="1" readingOrder="1"/>
    </xf>
    <xf numFmtId="0" fontId="27" fillId="36" borderId="10" xfId="0" applyFont="1" applyFill="1" applyBorder="1" applyAlignment="1">
      <alignment vertical="center" readingOrder="1"/>
    </xf>
    <xf numFmtId="0" fontId="27" fillId="36" borderId="14" xfId="0" applyFont="1" applyFill="1" applyBorder="1" applyAlignment="1">
      <alignment horizontal="center" vertical="center" wrapText="1" readingOrder="1"/>
    </xf>
    <xf numFmtId="0" fontId="27" fillId="36" borderId="22" xfId="0" applyFont="1" applyFill="1" applyBorder="1" applyAlignment="1">
      <alignment horizontal="center" vertical="center" wrapText="1" readingOrder="1"/>
    </xf>
    <xf numFmtId="0" fontId="27" fillId="36" borderId="16" xfId="0" applyFont="1" applyFill="1" applyBorder="1" applyAlignment="1">
      <alignment horizontal="center" vertical="center" wrapText="1" readingOrder="1"/>
    </xf>
    <xf numFmtId="165" fontId="26" fillId="36" borderId="20" xfId="0" applyNumberFormat="1" applyFont="1" applyFill="1" applyBorder="1" applyAlignment="1">
      <alignment horizontal="center" vertical="center"/>
    </xf>
    <xf numFmtId="167" fontId="26" fillId="36" borderId="24" xfId="0" applyNumberFormat="1" applyFont="1" applyFill="1" applyBorder="1" applyAlignment="1">
      <alignment horizontal="center" vertical="center"/>
    </xf>
    <xf numFmtId="167" fontId="26" fillId="36" borderId="21" xfId="0" applyNumberFormat="1" applyFont="1" applyFill="1" applyBorder="1" applyAlignment="1">
      <alignment horizontal="center" vertical="center"/>
    </xf>
    <xf numFmtId="0" fontId="26" fillId="36" borderId="17" xfId="0" applyFont="1" applyFill="1" applyBorder="1" applyAlignment="1">
      <alignment horizontal="left"/>
    </xf>
    <xf numFmtId="0" fontId="27" fillId="36" borderId="14" xfId="0" applyFont="1" applyFill="1" applyBorder="1" applyAlignment="1">
      <alignment horizontal="center" vertical="center" readingOrder="1"/>
    </xf>
    <xf numFmtId="0" fontId="27" fillId="36" borderId="22" xfId="0" applyFont="1" applyFill="1" applyBorder="1" applyAlignment="1">
      <alignment horizontal="center" vertical="center" wrapText="1"/>
    </xf>
    <xf numFmtId="0" fontId="27" fillId="36" borderId="16" xfId="0" applyFont="1" applyFill="1" applyBorder="1" applyAlignment="1">
      <alignment horizontal="center" vertical="center" wrapText="1"/>
    </xf>
    <xf numFmtId="165" fontId="27" fillId="36" borderId="14" xfId="0" applyNumberFormat="1" applyFont="1" applyFill="1" applyBorder="1" applyAlignment="1">
      <alignment horizontal="center" vertical="center" wrapText="1" readingOrder="1"/>
    </xf>
    <xf numFmtId="167" fontId="27" fillId="36" borderId="22" xfId="0" applyNumberFormat="1" applyFont="1" applyFill="1" applyBorder="1" applyAlignment="1">
      <alignment horizontal="center" vertical="center" wrapText="1" readingOrder="1"/>
    </xf>
    <xf numFmtId="167" fontId="27" fillId="36" borderId="16" xfId="0" applyNumberFormat="1" applyFont="1" applyFill="1" applyBorder="1" applyAlignment="1">
      <alignment horizontal="center" vertical="center" wrapText="1" readingOrder="1"/>
    </xf>
    <xf numFmtId="0" fontId="27" fillId="36" borderId="10" xfId="0" applyFont="1" applyFill="1" applyBorder="1" applyAlignment="1">
      <alignment horizontal="left" vertical="center" wrapText="1" readingOrder="1"/>
    </xf>
    <xf numFmtId="0" fontId="25" fillId="39" borderId="27" xfId="0" applyFont="1" applyFill="1" applyBorder="1" applyAlignment="1">
      <alignment horizontal="center" vertical="center" wrapText="1" readingOrder="1"/>
    </xf>
    <xf numFmtId="0" fontId="25" fillId="39" borderId="28" xfId="0" applyFont="1" applyFill="1" applyBorder="1" applyAlignment="1">
      <alignment horizontal="center" vertical="center" wrapText="1" readingOrder="1"/>
    </xf>
    <xf numFmtId="0" fontId="25" fillId="39" borderId="28" xfId="0" applyFont="1" applyFill="1" applyBorder="1" applyAlignment="1">
      <alignment horizontal="left" vertical="center" wrapText="1" readingOrder="1"/>
    </xf>
    <xf numFmtId="0" fontId="25" fillId="39" borderId="29" xfId="0" applyFont="1" applyFill="1" applyBorder="1" applyAlignment="1">
      <alignment horizontal="left" vertical="center" wrapText="1" readingOrder="1"/>
    </xf>
    <xf numFmtId="0" fontId="1" fillId="34" borderId="10" xfId="0" applyFont="1" applyFill="1" applyBorder="1" applyAlignment="1">
      <alignment horizontal="center" vertical="center" wrapText="1" readingOrder="1"/>
    </xf>
    <xf numFmtId="0" fontId="1" fillId="34" borderId="10" xfId="0" applyFont="1" applyFill="1" applyBorder="1" applyAlignment="1">
      <alignment horizontal="left" vertical="top" wrapText="1" readingOrder="1"/>
    </xf>
    <xf numFmtId="0" fontId="1" fillId="34" borderId="10" xfId="0" applyFont="1" applyFill="1" applyBorder="1" applyAlignment="1">
      <alignment horizontal="left" vertical="center" wrapText="1" readingOrder="1"/>
    </xf>
    <xf numFmtId="0" fontId="1" fillId="34" borderId="14" xfId="0" applyFont="1" applyFill="1" applyBorder="1" applyAlignment="1">
      <alignment horizontal="center" vertical="center" wrapText="1" readingOrder="1"/>
    </xf>
    <xf numFmtId="0" fontId="1" fillId="34" borderId="18" xfId="0" applyFont="1" applyFill="1" applyBorder="1" applyAlignment="1">
      <alignment horizontal="center" vertical="center" wrapText="1" readingOrder="1"/>
    </xf>
    <xf numFmtId="0" fontId="1" fillId="34" borderId="18" xfId="0" applyFont="1" applyFill="1" applyBorder="1" applyAlignment="1">
      <alignment horizontal="left" vertical="top" wrapText="1" readingOrder="1"/>
    </xf>
    <xf numFmtId="0" fontId="1" fillId="34" borderId="18" xfId="0" applyFont="1" applyFill="1" applyBorder="1" applyAlignment="1">
      <alignment horizontal="left" vertical="center" wrapText="1" readingOrder="1"/>
    </xf>
    <xf numFmtId="0" fontId="1" fillId="34" borderId="19" xfId="0" applyFont="1" applyFill="1" applyBorder="1" applyAlignment="1">
      <alignment horizontal="center" vertical="center" wrapText="1" readingOrder="1"/>
    </xf>
    <xf numFmtId="0" fontId="21" fillId="0" borderId="0" xfId="0" pivotButton="1" applyFont="1"/>
    <xf numFmtId="0" fontId="21" fillId="34" borderId="23" xfId="0" applyFont="1" applyFill="1" applyBorder="1" applyAlignment="1">
      <alignment horizontal="left" vertical="center" wrapText="1" readingOrder="1"/>
    </xf>
    <xf numFmtId="165" fontId="21" fillId="34" borderId="13" xfId="0" applyNumberFormat="1" applyFont="1" applyFill="1" applyBorder="1" applyAlignment="1">
      <alignment horizontal="center" vertical="center" wrapText="1" readingOrder="1"/>
    </xf>
    <xf numFmtId="167" fontId="21" fillId="34" borderId="0" xfId="0" applyNumberFormat="1" applyFont="1" applyFill="1" applyAlignment="1">
      <alignment horizontal="center" vertical="center" wrapText="1" readingOrder="1"/>
    </xf>
    <xf numFmtId="167" fontId="21" fillId="34" borderId="15" xfId="0" applyNumberFormat="1" applyFont="1" applyFill="1" applyBorder="1" applyAlignment="1">
      <alignment horizontal="center" vertical="center" wrapText="1" readingOrder="1"/>
    </xf>
    <xf numFmtId="0" fontId="21" fillId="34" borderId="17" xfId="0" applyFont="1" applyFill="1" applyBorder="1" applyAlignment="1">
      <alignment horizontal="left" vertical="center" wrapText="1" readingOrder="1"/>
    </xf>
    <xf numFmtId="165" fontId="21" fillId="34" borderId="20" xfId="0" applyNumberFormat="1" applyFont="1" applyFill="1" applyBorder="1" applyAlignment="1">
      <alignment horizontal="center" vertical="center" wrapText="1" readingOrder="1"/>
    </xf>
    <xf numFmtId="167" fontId="21" fillId="34" borderId="24" xfId="0" applyNumberFormat="1" applyFont="1" applyFill="1" applyBorder="1" applyAlignment="1">
      <alignment horizontal="center" vertical="center" wrapText="1" readingOrder="1"/>
    </xf>
    <xf numFmtId="167" fontId="21" fillId="34" borderId="21" xfId="0" applyNumberFormat="1" applyFont="1" applyFill="1" applyBorder="1" applyAlignment="1">
      <alignment horizontal="center" vertical="center" wrapText="1" readingOrder="1"/>
    </xf>
    <xf numFmtId="0" fontId="24" fillId="40" borderId="25" xfId="0" applyFont="1" applyFill="1" applyBorder="1" applyAlignment="1">
      <alignment horizontal="center"/>
    </xf>
    <xf numFmtId="0" fontId="24" fillId="40" borderId="26" xfId="0" applyFont="1" applyFill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17" fillId="0" borderId="0" xfId="0" applyFont="1"/>
    <xf numFmtId="0" fontId="24" fillId="38" borderId="26" xfId="0" applyFont="1" applyFill="1" applyBorder="1" applyAlignment="1"/>
    <xf numFmtId="0" fontId="17" fillId="0" borderId="10" xfId="0" applyFont="1" applyBorder="1" applyAlignment="1">
      <alignment horizontal="center"/>
    </xf>
    <xf numFmtId="0" fontId="0" fillId="43" borderId="0" xfId="0" applyFill="1"/>
    <xf numFmtId="0" fontId="0" fillId="43" borderId="0" xfId="0" applyFill="1" applyAlignment="1">
      <alignment horizontal="left"/>
    </xf>
    <xf numFmtId="0" fontId="24" fillId="39" borderId="30" xfId="0" applyFont="1" applyFill="1" applyBorder="1" applyAlignment="1">
      <alignment horizontal="center" vertical="center" wrapText="1" readingOrder="1"/>
    </xf>
    <xf numFmtId="0" fontId="24" fillId="39" borderId="31" xfId="0" applyFont="1" applyFill="1" applyBorder="1" applyAlignment="1">
      <alignment horizontal="left" vertical="center" wrapText="1" readingOrder="1"/>
    </xf>
    <xf numFmtId="3" fontId="24" fillId="39" borderId="31" xfId="0" applyNumberFormat="1" applyFont="1" applyFill="1" applyBorder="1" applyAlignment="1">
      <alignment horizontal="left" vertical="center" wrapText="1" readingOrder="1"/>
    </xf>
    <xf numFmtId="0" fontId="14" fillId="43" borderId="10" xfId="0" applyFont="1" applyFill="1" applyBorder="1" applyAlignment="1">
      <alignment horizontal="left"/>
    </xf>
    <xf numFmtId="0" fontId="14" fillId="43" borderId="10" xfId="0" applyFont="1" applyFill="1" applyBorder="1"/>
    <xf numFmtId="3" fontId="18" fillId="43" borderId="10" xfId="0" applyNumberFormat="1" applyFont="1" applyFill="1" applyBorder="1"/>
    <xf numFmtId="3" fontId="18" fillId="43" borderId="10" xfId="0" applyNumberFormat="1" applyFont="1" applyFill="1" applyBorder="1" applyAlignment="1">
      <alignment horizontal="left"/>
    </xf>
    <xf numFmtId="0" fontId="17" fillId="41" borderId="10" xfId="0" applyFont="1" applyFill="1" applyBorder="1"/>
    <xf numFmtId="3" fontId="17" fillId="41" borderId="10" xfId="0" applyNumberFormat="1" applyFont="1" applyFill="1" applyBorder="1" applyAlignment="1">
      <alignment horizontal="left"/>
    </xf>
    <xf numFmtId="3" fontId="17" fillId="42" borderId="10" xfId="0" applyNumberFormat="1" applyFont="1" applyFill="1" applyBorder="1"/>
    <xf numFmtId="0" fontId="0" fillId="35" borderId="10" xfId="0" applyFill="1" applyBorder="1"/>
    <xf numFmtId="3" fontId="0" fillId="35" borderId="10" xfId="0" applyNumberFormat="1" applyFill="1" applyBorder="1" applyAlignment="1">
      <alignment horizontal="left"/>
    </xf>
    <xf numFmtId="0" fontId="0" fillId="35" borderId="23" xfId="0" applyFill="1" applyBorder="1"/>
    <xf numFmtId="3" fontId="0" fillId="35" borderId="10" xfId="0" applyNumberFormat="1" applyFill="1" applyBorder="1"/>
    <xf numFmtId="0" fontId="0" fillId="35" borderId="10" xfId="0" applyFill="1" applyBorder="1" applyAlignment="1">
      <alignment horizontal="left"/>
    </xf>
  </cellXfs>
  <cellStyles count="46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Comma 2" xfId="42" xr:uid="{00000000-0005-0000-0000-00001B000000}"/>
    <cellStyle name="Comma 3" xfId="44" xr:uid="{49E9B759-8CF0-4911-984A-B667AD1DB256}"/>
    <cellStyle name="Comma 3 2" xfId="45" xr:uid="{00852A3E-65F6-4597-B8FE-E0F2F130C2F3}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 xr:uid="{F564E553-9AD2-4344-92DF-2360C8C7196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7">
    <dxf>
      <fill>
        <patternFill>
          <bgColor rgb="FFFF0000"/>
        </patternFill>
      </fill>
    </dxf>
    <dxf>
      <font>
        <color theme="9" tint="-0.499984740745262"/>
      </font>
    </dxf>
    <dxf>
      <font>
        <color rgb="FFC00000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theme="0" tint="-0.34998626667073579"/>
        </left>
        <right/>
        <top style="medium">
          <color theme="0"/>
        </top>
        <bottom style="medium">
          <color theme="0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medium">
          <color theme="0"/>
        </top>
        <bottom style="medium">
          <color theme="0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medium">
          <color theme="0"/>
        </top>
        <bottom style="medium">
          <color theme="0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medium">
          <color theme="0"/>
        </top>
        <bottom style="medium">
          <color theme="0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theme="0"/>
        </left>
        <right style="thin">
          <color theme="0" tint="-0.34998626667073579"/>
        </right>
        <top style="medium">
          <color theme="0"/>
        </top>
        <bottom style="medium">
          <color theme="0"/>
        </bottom>
      </border>
    </dxf>
    <dxf>
      <border>
        <top style="medium">
          <color rgb="FFFFFFFF"/>
        </top>
      </border>
    </dxf>
    <dxf>
      <font>
        <strike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rgb="FF000000"/>
          <bgColor rgb="FF963634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top" textRotation="0" wrapText="1" indent="0" justifyLastLine="0" shrinkToFit="0" readingOrder="1"/>
    </dxf>
  </dxfs>
  <tableStyles count="0" defaultTableStyle="TableStyleMedium2" defaultPivotStyle="PivotStyleLight16"/>
  <colors>
    <mruColors>
      <color rgb="FF487B48"/>
      <color rgb="FF963634"/>
      <color rgb="FFCA3B41"/>
      <color rgb="FFF7BE66"/>
      <color rgb="FF354549"/>
      <color rgb="FFEA6962"/>
      <color rgb="FFFFC7CE"/>
      <color rgb="FFC6EFCE"/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[Agile Estimation Template Existing Project V1.1.xlsx]byUncertainty!PivotTable6</c:name>
    <c:fmtId val="22"/>
  </c:pivotSource>
  <c:chart>
    <c:title>
      <c:tx>
        <c:rich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GB" sz="1600">
                <a:solidFill>
                  <a:schemeClr val="tx1">
                    <a:lumMod val="65000"/>
                    <a:lumOff val="35000"/>
                  </a:schemeClr>
                </a:solidFill>
              </a:rPr>
              <a:t>Business Uncertainty</a:t>
            </a:r>
          </a:p>
        </c:rich>
      </c:tx>
      <c:layout>
        <c:manualLayout>
          <c:xMode val="edge"/>
          <c:yMode val="edge"/>
          <c:x val="0.20391904500309554"/>
          <c:y val="1.014987518419953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lIns="38100" tIns="19050" rIns="38100" bIns="19050">
              <a:spAutoFit/>
            </a:bodyPr>
            <a:lstStyle/>
            <a:p>
              <a:pPr>
                <a:defRPr/>
              </a:pPr>
              <a:endParaRPr lang="es-C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3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4"/>
        <c:spPr>
          <a:solidFill>
            <a:srgbClr val="CA3B41"/>
          </a:solidFill>
        </c:spPr>
        <c:dLbl>
          <c:idx val="0"/>
          <c:spPr>
            <a:ln>
              <a:noFill/>
            </a:ln>
          </c:spPr>
          <c:txPr>
            <a:bodyPr lIns="38100" tIns="19050" rIns="38100" bIns="19050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87B48"/>
          </a:solidFill>
        </c:spPr>
        <c:dLbl>
          <c:idx val="0"/>
          <c:spPr>
            <a:ln>
              <a:noFill/>
            </a:ln>
          </c:spPr>
          <c:txPr>
            <a:bodyPr lIns="38100" tIns="19050" rIns="38100" bIns="19050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7BE66"/>
          </a:solidFill>
        </c:spPr>
      </c:pivotFmt>
      <c:pivotFmt>
        <c:idx val="7"/>
        <c:marker>
          <c:symbol val="none"/>
        </c:marker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</c:pivotFmts>
    <c:plotArea>
      <c:layout>
        <c:manualLayout>
          <c:layoutTarget val="inner"/>
          <c:xMode val="edge"/>
          <c:yMode val="edge"/>
          <c:x val="0.15095972334934454"/>
          <c:y val="0.17546429837682301"/>
          <c:w val="0.66465436945729972"/>
          <c:h val="0.7285828408835181"/>
        </c:manualLayout>
      </c:layout>
      <c:pieChart>
        <c:varyColors val="1"/>
        <c:ser>
          <c:idx val="0"/>
          <c:order val="0"/>
          <c:tx>
            <c:strRef>
              <c:f>byUncertainty!$B$3</c:f>
              <c:strCache>
                <c:ptCount val="1"/>
                <c:pt idx="0">
                  <c:v>%tage</c:v>
                </c:pt>
              </c:strCache>
            </c:strRef>
          </c:tx>
          <c:explosion val="5"/>
          <c:dPt>
            <c:idx val="0"/>
            <c:bubble3D val="0"/>
            <c:explosion val="0"/>
            <c:spPr>
              <a:solidFill>
                <a:srgbClr val="487B48"/>
              </a:solidFill>
            </c:spPr>
            <c:extLst>
              <c:ext xmlns:c16="http://schemas.microsoft.com/office/drawing/2014/chart" uri="{C3380CC4-5D6E-409C-BE32-E72D297353CC}">
                <c16:uniqueId val="{00000001-3726-4E54-A618-175F966A5596}"/>
              </c:ext>
            </c:extLst>
          </c:dPt>
          <c:dPt>
            <c:idx val="1"/>
            <c:bubble3D val="0"/>
            <c:explosion val="0"/>
            <c:spPr>
              <a:solidFill>
                <a:srgbClr val="F7BE66"/>
              </a:solidFill>
            </c:spPr>
            <c:extLst>
              <c:ext xmlns:c16="http://schemas.microsoft.com/office/drawing/2014/chart" uri="{C3380CC4-5D6E-409C-BE32-E72D297353CC}">
                <c16:uniqueId val="{00000002-3726-4E54-A618-175F966A5596}"/>
              </c:ext>
            </c:extLst>
          </c:dPt>
          <c:dPt>
            <c:idx val="2"/>
            <c:bubble3D val="0"/>
            <c:explosion val="0"/>
            <c:spPr>
              <a:solidFill>
                <a:srgbClr val="CA3B41"/>
              </a:solidFill>
            </c:spPr>
            <c:extLst>
              <c:ext xmlns:c16="http://schemas.microsoft.com/office/drawing/2014/chart" uri="{C3380CC4-5D6E-409C-BE32-E72D297353CC}">
                <c16:uniqueId val="{00000003-3726-4E54-A618-175F966A5596}"/>
              </c:ext>
            </c:extLst>
          </c:dPt>
          <c:dLbls>
            <c:dLbl>
              <c:idx val="0"/>
              <c:spPr>
                <a:ln>
                  <a:noFill/>
                </a:ln>
              </c:spPr>
              <c:txPr>
                <a:bodyPr lIns="38100" tIns="19050" rIns="38100" bIns="19050">
                  <a:spAutoFit/>
                </a:bodyPr>
                <a:lstStyle/>
                <a:p>
                  <a:pPr>
                    <a:defRPr/>
                  </a:pPr>
                  <a:endParaRPr lang="es-CO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26-4E54-A618-175F966A5596}"/>
                </c:ext>
              </c:extLst>
            </c:dLbl>
            <c:dLbl>
              <c:idx val="2"/>
              <c:spPr>
                <a:ln>
                  <a:noFill/>
                </a:ln>
              </c:spPr>
              <c:txPr>
                <a:bodyPr lIns="38100" tIns="19050" rIns="38100" bIns="19050">
                  <a:spAutoFit/>
                </a:bodyPr>
                <a:lstStyle/>
                <a:p>
                  <a:pPr>
                    <a:defRPr/>
                  </a:pPr>
                  <a:endParaRPr lang="es-CO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26-4E54-A618-175F966A5596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lIns="38100" tIns="19050" rIns="38100" bIns="19050">
                <a:spAutoFit/>
              </a:bodyPr>
              <a:lstStyle/>
              <a:p>
                <a:pPr>
                  <a:defRPr/>
                </a:pPr>
                <a:endParaRPr lang="es-CO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byUncertainty!$A$4:$A$7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byUncertainty!$B$4:$B$7</c:f>
              <c:numCache>
                <c:formatCode>0.0%</c:formatCode>
                <c:ptCount val="3"/>
                <c:pt idx="0">
                  <c:v>0.19575699132111862</c:v>
                </c:pt>
                <c:pt idx="1">
                  <c:v>0.27193828351012539</c:v>
                </c:pt>
                <c:pt idx="2">
                  <c:v>0.53230472516875604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26-4E54-A618-175F966A5596}"/>
            </c:ext>
          </c:extLst>
        </c:ser>
        <c:ser>
          <c:idx val="1"/>
          <c:order val="1"/>
          <c:tx>
            <c:strRef>
              <c:f>byUncertainty!$C$3</c:f>
              <c:strCache>
                <c:ptCount val="1"/>
                <c:pt idx="0">
                  <c:v>Best Case (SP)</c:v>
                </c:pt>
              </c:strCache>
            </c:strRef>
          </c:tx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CO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byUncertainty!$A$4:$A$7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byUncertainty!$C$4:$C$7</c:f>
              <c:numCache>
                <c:formatCode>#,##0.0</c:formatCode>
                <c:ptCount val="3"/>
                <c:pt idx="0">
                  <c:v>75.650000000000006</c:v>
                </c:pt>
                <c:pt idx="1">
                  <c:v>83.8</c:v>
                </c:pt>
                <c:pt idx="2">
                  <c:v>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26-4E54-A618-175F966A5596}"/>
            </c:ext>
          </c:extLst>
        </c:ser>
        <c:ser>
          <c:idx val="2"/>
          <c:order val="2"/>
          <c:tx>
            <c:strRef>
              <c:f>byUncertainty!$D$3</c:f>
              <c:strCache>
                <c:ptCount val="1"/>
                <c:pt idx="0">
                  <c:v>Most Likely (SP)</c:v>
                </c:pt>
              </c:strCache>
            </c:strRef>
          </c:tx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CO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byUncertainty!$A$4:$A$7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byUncertainty!$D$4:$D$7</c:f>
              <c:numCache>
                <c:formatCode>#,##0.0</c:formatCode>
                <c:ptCount val="3"/>
                <c:pt idx="0">
                  <c:v>101.5</c:v>
                </c:pt>
                <c:pt idx="1">
                  <c:v>141</c:v>
                </c:pt>
                <c:pt idx="2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26-4E54-A618-175F966A5596}"/>
            </c:ext>
          </c:extLst>
        </c:ser>
        <c:ser>
          <c:idx val="3"/>
          <c:order val="3"/>
          <c:tx>
            <c:strRef>
              <c:f>byUncertainty!$E$3</c:f>
              <c:strCache>
                <c:ptCount val="1"/>
                <c:pt idx="0">
                  <c:v>Worst Case (SP)</c:v>
                </c:pt>
              </c:strCache>
            </c:strRef>
          </c:tx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CO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byUncertainty!$A$4:$A$7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byUncertainty!$E$4:$E$7</c:f>
              <c:numCache>
                <c:formatCode>#,##0.0</c:formatCode>
                <c:ptCount val="3"/>
                <c:pt idx="0">
                  <c:v>127.35</c:v>
                </c:pt>
                <c:pt idx="1">
                  <c:v>198.2</c:v>
                </c:pt>
                <c:pt idx="2">
                  <c:v>482.3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26-4E54-A618-175F966A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[Agile Estimation Template Existing Project V1.1.xlsx]byComplexity!PivotTable2</c:name>
    <c:fmtId val="0"/>
  </c:pivotSource>
  <c:chart>
    <c:title>
      <c:tx>
        <c:rich>
          <a:bodyPr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n-GB" sz="16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Technical Complexity</a:t>
            </a:r>
            <a:endParaRPr lang="en-GB" sz="1600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layout>
        <c:manualLayout>
          <c:xMode val="edge"/>
          <c:yMode val="edge"/>
          <c:x val="0.21804986870158627"/>
          <c:y val="4.9263472298994365E-3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CO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spPr>
          <a:solidFill>
            <a:schemeClr val="accent3"/>
          </a:solidFill>
        </c:spPr>
      </c:pivotFmt>
      <c:pivotFmt>
        <c:idx val="6"/>
        <c:spPr>
          <a:solidFill>
            <a:srgbClr val="FFC000"/>
          </a:solidFill>
        </c:spPr>
      </c:pivotFmt>
      <c:pivotFmt>
        <c:idx val="7"/>
        <c:spPr>
          <a:solidFill>
            <a:srgbClr val="FF0000"/>
          </a:solidFill>
        </c:spPr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CO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</c:spPr>
      </c:pivotFmt>
      <c:pivotFmt>
        <c:idx val="10"/>
        <c:spPr>
          <a:solidFill>
            <a:schemeClr val="accent3"/>
          </a:solidFill>
        </c:spPr>
      </c:pivotFmt>
      <c:pivotFmt>
        <c:idx val="11"/>
        <c:spPr>
          <a:solidFill>
            <a:srgbClr val="FFC000"/>
          </a:solidFill>
        </c:spP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s-CO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0000"/>
          </a:solidFill>
        </c:spPr>
      </c:pivotFmt>
      <c:pivotFmt>
        <c:idx val="17"/>
        <c:spPr>
          <a:solidFill>
            <a:schemeClr val="accent3"/>
          </a:solidFill>
        </c:spPr>
      </c:pivotFmt>
      <c:pivotFmt>
        <c:idx val="18"/>
        <c:spPr>
          <a:solidFill>
            <a:srgbClr val="FFC000"/>
          </a:solidFill>
        </c:spP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3"/>
        <c:spPr>
          <a:solidFill>
            <a:srgbClr val="CA3B41"/>
          </a:solidFill>
        </c:spP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487B48"/>
          </a:solidFill>
        </c:spP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7BE66"/>
          </a:solidFill>
        </c:spP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/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454248774458748"/>
          <c:y val="0.16648191967695075"/>
          <c:w val="0.63091502451082504"/>
          <c:h val="0.7832047229950182"/>
        </c:manualLayout>
      </c:layout>
      <c:pieChart>
        <c:varyColors val="1"/>
        <c:ser>
          <c:idx val="0"/>
          <c:order val="0"/>
          <c:tx>
            <c:strRef>
              <c:f>byComplexity!$B$3</c:f>
              <c:strCache>
                <c:ptCount val="1"/>
                <c:pt idx="0">
                  <c:v>%tage</c:v>
                </c:pt>
              </c:strCache>
            </c:strRef>
          </c:tx>
          <c:explosion val="4"/>
          <c:dPt>
            <c:idx val="0"/>
            <c:bubble3D val="0"/>
            <c:explosion val="0"/>
            <c:spPr>
              <a:solidFill>
                <a:srgbClr val="487B48"/>
              </a:solidFill>
            </c:spPr>
            <c:extLst>
              <c:ext xmlns:c16="http://schemas.microsoft.com/office/drawing/2014/chart" uri="{C3380CC4-5D6E-409C-BE32-E72D297353CC}">
                <c16:uniqueId val="{00000001-6F1C-4582-B775-28BE4EBBB836}"/>
              </c:ext>
            </c:extLst>
          </c:dPt>
          <c:dPt>
            <c:idx val="1"/>
            <c:bubble3D val="0"/>
            <c:explosion val="0"/>
            <c:spPr>
              <a:solidFill>
                <a:srgbClr val="F7BE66"/>
              </a:solidFill>
            </c:spPr>
            <c:extLst>
              <c:ext xmlns:c16="http://schemas.microsoft.com/office/drawing/2014/chart" uri="{C3380CC4-5D6E-409C-BE32-E72D297353CC}">
                <c16:uniqueId val="{00000003-6F1C-4582-B775-28BE4EBBB836}"/>
              </c:ext>
            </c:extLst>
          </c:dPt>
          <c:dPt>
            <c:idx val="2"/>
            <c:bubble3D val="0"/>
            <c:explosion val="0"/>
            <c:spPr>
              <a:solidFill>
                <a:srgbClr val="CA3B41"/>
              </a:solidFill>
            </c:spPr>
            <c:extLst>
              <c:ext xmlns:c16="http://schemas.microsoft.com/office/drawing/2014/chart" uri="{C3380CC4-5D6E-409C-BE32-E72D297353CC}">
                <c16:uniqueId val="{00000005-6F1C-4582-B775-28BE4EBBB83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6F1C-4582-B775-28BE4EBBB83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7-6F1C-4582-B775-28BE4EBBB83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8-6F1C-4582-B775-28BE4EBBB83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s-CO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1C-4582-B775-28BE4EBBB83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s-CO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1C-4582-B775-28BE4EBBB83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s-CO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1C-4582-B775-28BE4EBBB83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CO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byComplexity!$A$4:$A$7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byComplexity!$B$4:$B$7</c:f>
              <c:numCache>
                <c:formatCode>0.0%</c:formatCode>
                <c:ptCount val="3"/>
                <c:pt idx="0">
                  <c:v>0.42912246865959497</c:v>
                </c:pt>
                <c:pt idx="1">
                  <c:v>0.49373191899710706</c:v>
                </c:pt>
                <c:pt idx="2">
                  <c:v>7.7145612343297976E-2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1C-4582-B775-28BE4EBBB836}"/>
            </c:ext>
          </c:extLst>
        </c:ser>
        <c:ser>
          <c:idx val="1"/>
          <c:order val="1"/>
          <c:tx>
            <c:strRef>
              <c:f>byComplexity!$C$3</c:f>
              <c:strCache>
                <c:ptCount val="1"/>
                <c:pt idx="0">
                  <c:v>Best Case (SP)</c:v>
                </c:pt>
              </c:strCache>
            </c:strRef>
          </c:tx>
          <c:cat>
            <c:strRef>
              <c:f>byComplexity!$A$4:$A$7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byComplexity!$C$4:$C$7</c:f>
              <c:numCache>
                <c:formatCode>#,##0.0</c:formatCode>
                <c:ptCount val="3"/>
                <c:pt idx="0">
                  <c:v>117.3</c:v>
                </c:pt>
                <c:pt idx="1">
                  <c:v>103.85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1C-4582-B775-28BE4EBBB836}"/>
            </c:ext>
          </c:extLst>
        </c:ser>
        <c:ser>
          <c:idx val="2"/>
          <c:order val="2"/>
          <c:tx>
            <c:strRef>
              <c:f>byComplexity!$D$3</c:f>
              <c:strCache>
                <c:ptCount val="1"/>
                <c:pt idx="0">
                  <c:v>Most Likely (SP)</c:v>
                </c:pt>
              </c:strCache>
            </c:strRef>
          </c:tx>
          <c:cat>
            <c:strRef>
              <c:f>byComplexity!$A$4:$A$7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byComplexity!$D$4:$D$7</c:f>
              <c:numCache>
                <c:formatCode>#,##0.0</c:formatCode>
                <c:ptCount val="3"/>
                <c:pt idx="0">
                  <c:v>222.5</c:v>
                </c:pt>
                <c:pt idx="1">
                  <c:v>256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F1C-4582-B775-28BE4EBBB836}"/>
            </c:ext>
          </c:extLst>
        </c:ser>
        <c:ser>
          <c:idx val="3"/>
          <c:order val="3"/>
          <c:tx>
            <c:strRef>
              <c:f>byComplexity!$E$3</c:f>
              <c:strCache>
                <c:ptCount val="1"/>
                <c:pt idx="0">
                  <c:v>Worst Case (SP)</c:v>
                </c:pt>
              </c:strCache>
            </c:strRef>
          </c:tx>
          <c:cat>
            <c:strRef>
              <c:f>byComplexity!$A$4:$A$7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byComplexity!$E$4:$E$7</c:f>
              <c:numCache>
                <c:formatCode>#,##0.0</c:formatCode>
                <c:ptCount val="3"/>
                <c:pt idx="0">
                  <c:v>327.7</c:v>
                </c:pt>
                <c:pt idx="1">
                  <c:v>408.15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1C-4582-B775-28BE4EBBB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1485900</xdr:colOff>
      <xdr:row>9</xdr:row>
      <xdr:rowOff>23811</xdr:rowOff>
    </xdr:from>
    <xdr:to>
      <xdr:col>4</xdr:col>
      <xdr:colOff>990600</xdr:colOff>
      <xdr:row>24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1943100</xdr:colOff>
      <xdr:row>8</xdr:row>
      <xdr:rowOff>4761</xdr:rowOff>
    </xdr:from>
    <xdr:to>
      <xdr:col>5</xdr:col>
      <xdr:colOff>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2E12A7-ABB7-44B7-8CCA-563839B21E6D}" name="Table13" displayName="Table13" ref="A2:E26" totalsRowCount="1" headerRowDxfId="16" dataDxfId="15" totalsRowDxfId="14" totalsRowBorderDxfId="13">
  <autoFilter ref="A2:E25" xr:uid="{00000000-0009-0000-0100-000001000000}"/>
  <tableColumns count="5">
    <tableColumn id="1" xr3:uid="{A4ED9F30-FF47-41A6-B45F-F0BA07E42CC5}" name="ID" totalsRowLabel="Total" dataDxfId="11" totalsRowDxfId="12"/>
    <tableColumn id="2" xr3:uid="{7563D9FB-9BFB-4A7C-9870-49C30964F7B9}" name="Backlog Item _x000a_(Feature or Story)" dataDxfId="9" totalsRowDxfId="10"/>
    <tableColumn id="3" xr3:uid="{91F8F8D3-52DF-4C51-8AEE-58B30AFFA9E3}" name="Comments" dataDxfId="7" totalsRowDxfId="8"/>
    <tableColumn id="5" xr3:uid="{ED9FFBD0-D897-4205-BE0B-A41EDAC4B7DF}" name="Story Points" totalsRowFunction="sum" dataDxfId="5" totalsRowDxfId="6"/>
    <tableColumn id="7" xr3:uid="{0B7915D9-C5CE-43B6-9A79-BA9FEAFC541A}" name="Technical Complexity" dataDxfId="3" totalsRow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65B8-F76F-4B09-9853-26CAA9E386C8}">
  <sheetPr>
    <tabColor rgb="FF487B48"/>
  </sheetPr>
  <dimension ref="A1:BZ419"/>
  <sheetViews>
    <sheetView tabSelected="1" zoomScaleNormal="100" workbookViewId="0">
      <pane ySplit="2" topLeftCell="A3" activePane="bottomLeft" state="frozen"/>
      <selection pane="bottomLeft" sqref="A1:E1"/>
    </sheetView>
  </sheetViews>
  <sheetFormatPr baseColWidth="10" defaultColWidth="8.6640625" defaultRowHeight="11.4"/>
  <cols>
    <col min="1" max="1" width="7.6640625" style="1" bestFit="1" customWidth="1"/>
    <col min="2" max="2" width="17.6640625" style="1" customWidth="1"/>
    <col min="3" max="3" width="11.5546875" style="1" customWidth="1"/>
    <col min="4" max="4" width="14.21875" style="1" customWidth="1"/>
    <col min="5" max="5" width="21.77734375" style="2" customWidth="1"/>
    <col min="6" max="16384" width="8.6640625" style="1"/>
  </cols>
  <sheetData>
    <row r="1" spans="1:78" ht="18" customHeight="1" thickBot="1">
      <c r="A1" s="47" t="s">
        <v>0</v>
      </c>
      <c r="B1" s="48"/>
      <c r="C1" s="48"/>
      <c r="D1" s="48"/>
      <c r="E1" s="48"/>
    </row>
    <row r="2" spans="1:78" s="7" customFormat="1" ht="31.2">
      <c r="A2" s="9" t="s">
        <v>1</v>
      </c>
      <c r="B2" s="9" t="s">
        <v>2</v>
      </c>
      <c r="C2" s="9" t="s">
        <v>3</v>
      </c>
      <c r="D2" s="9" t="s">
        <v>5</v>
      </c>
      <c r="E2" s="10" t="s">
        <v>6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spans="1:78" ht="46.8">
      <c r="A3" s="30">
        <v>1</v>
      </c>
      <c r="B3" s="31" t="s">
        <v>43</v>
      </c>
      <c r="C3" s="32" t="s">
        <v>37</v>
      </c>
      <c r="D3" s="30">
        <v>5</v>
      </c>
      <c r="E3" s="33" t="s">
        <v>8</v>
      </c>
      <c r="I3" s="51" t="s">
        <v>55</v>
      </c>
      <c r="J3" s="51"/>
      <c r="K3" s="51"/>
      <c r="L3" s="51"/>
      <c r="M3" s="51"/>
      <c r="N3" s="51"/>
      <c r="O3" s="51"/>
      <c r="P3" s="51"/>
    </row>
    <row r="4" spans="1:78" ht="15.6">
      <c r="A4" s="30">
        <v>2</v>
      </c>
      <c r="B4" s="31" t="s">
        <v>38</v>
      </c>
      <c r="C4" s="32" t="s">
        <v>39</v>
      </c>
      <c r="D4" s="30">
        <v>8</v>
      </c>
      <c r="E4" s="33" t="s">
        <v>12</v>
      </c>
    </row>
    <row r="5" spans="1:78" ht="62.4">
      <c r="A5" s="30">
        <v>3</v>
      </c>
      <c r="B5" s="31" t="s">
        <v>42</v>
      </c>
      <c r="C5" s="32" t="s">
        <v>40</v>
      </c>
      <c r="D5" s="30">
        <v>8</v>
      </c>
      <c r="E5" s="33" t="s">
        <v>7</v>
      </c>
      <c r="I5" s="49" t="s">
        <v>45</v>
      </c>
    </row>
    <row r="6" spans="1:78" ht="78">
      <c r="A6" s="30">
        <v>4</v>
      </c>
      <c r="B6" s="31" t="s">
        <v>44</v>
      </c>
      <c r="C6" s="32" t="s">
        <v>41</v>
      </c>
      <c r="D6" s="30">
        <v>3</v>
      </c>
      <c r="E6" s="33" t="s">
        <v>8</v>
      </c>
      <c r="I6" s="50" t="s">
        <v>52</v>
      </c>
    </row>
    <row r="7" spans="1:78" ht="15.6">
      <c r="A7" s="30">
        <v>5</v>
      </c>
      <c r="B7" s="31" t="s">
        <v>9</v>
      </c>
      <c r="C7" s="32"/>
      <c r="D7" s="30"/>
      <c r="E7" s="33" t="s">
        <v>7</v>
      </c>
    </row>
    <row r="8" spans="1:78" ht="15.6">
      <c r="A8" s="30">
        <v>6</v>
      </c>
      <c r="B8" s="31" t="s">
        <v>10</v>
      </c>
      <c r="C8" s="32"/>
      <c r="D8" s="30"/>
      <c r="E8" s="33" t="s">
        <v>7</v>
      </c>
      <c r="I8" s="50" t="s">
        <v>50</v>
      </c>
    </row>
    <row r="9" spans="1:78" ht="15.6">
      <c r="A9" s="30">
        <v>7</v>
      </c>
      <c r="B9" s="31" t="s">
        <v>11</v>
      </c>
      <c r="C9" s="32"/>
      <c r="D9" s="30"/>
      <c r="E9" s="33" t="s">
        <v>8</v>
      </c>
    </row>
    <row r="10" spans="1:78" ht="15.6">
      <c r="A10" s="30">
        <v>8</v>
      </c>
      <c r="B10" s="31" t="s">
        <v>13</v>
      </c>
      <c r="C10" s="32"/>
      <c r="D10" s="30"/>
      <c r="E10" s="33" t="s">
        <v>7</v>
      </c>
    </row>
    <row r="11" spans="1:78" ht="15.6">
      <c r="A11" s="30">
        <v>9</v>
      </c>
      <c r="B11" s="31" t="s">
        <v>14</v>
      </c>
      <c r="C11" s="32"/>
      <c r="D11" s="30"/>
      <c r="E11" s="33" t="s">
        <v>8</v>
      </c>
    </row>
    <row r="12" spans="1:78" ht="15.6">
      <c r="A12" s="30">
        <v>10</v>
      </c>
      <c r="B12" s="31" t="s">
        <v>15</v>
      </c>
      <c r="C12" s="32"/>
      <c r="D12" s="30"/>
      <c r="E12" s="33" t="s">
        <v>7</v>
      </c>
    </row>
    <row r="13" spans="1:78" ht="15.6">
      <c r="A13" s="30">
        <v>11</v>
      </c>
      <c r="B13" s="31" t="s">
        <v>16</v>
      </c>
      <c r="C13" s="32"/>
      <c r="D13" s="30"/>
      <c r="E13" s="33" t="s">
        <v>7</v>
      </c>
    </row>
    <row r="14" spans="1:78" ht="15.6">
      <c r="A14" s="30">
        <v>12</v>
      </c>
      <c r="B14" s="31" t="s">
        <v>17</v>
      </c>
      <c r="C14" s="32"/>
      <c r="D14" s="30"/>
      <c r="E14" s="33" t="s">
        <v>8</v>
      </c>
    </row>
    <row r="15" spans="1:78" ht="15.6">
      <c r="A15" s="30">
        <v>13</v>
      </c>
      <c r="B15" s="31" t="s">
        <v>18</v>
      </c>
      <c r="C15" s="32"/>
      <c r="D15" s="30"/>
      <c r="E15" s="33" t="s">
        <v>7</v>
      </c>
    </row>
    <row r="16" spans="1:78" s="3" customFormat="1" ht="16.2" thickBot="1">
      <c r="A16" s="30">
        <v>14</v>
      </c>
      <c r="B16" s="31" t="s">
        <v>19</v>
      </c>
      <c r="C16" s="32"/>
      <c r="D16" s="30"/>
      <c r="E16" s="33" t="s">
        <v>8</v>
      </c>
    </row>
    <row r="17" spans="1:78" s="4" customFormat="1" ht="15.6">
      <c r="A17" s="30">
        <v>15</v>
      </c>
      <c r="B17" s="31" t="s">
        <v>20</v>
      </c>
      <c r="C17" s="32"/>
      <c r="D17" s="30"/>
      <c r="E17" s="33" t="s">
        <v>7</v>
      </c>
    </row>
    <row r="18" spans="1:78" ht="15.6">
      <c r="A18" s="30">
        <v>16</v>
      </c>
      <c r="B18" s="31" t="s">
        <v>21</v>
      </c>
      <c r="C18" s="32"/>
      <c r="D18" s="30"/>
      <c r="E18" s="33" t="s">
        <v>8</v>
      </c>
    </row>
    <row r="19" spans="1:78" ht="15.6">
      <c r="A19" s="30">
        <v>17</v>
      </c>
      <c r="B19" s="31" t="s">
        <v>22</v>
      </c>
      <c r="C19" s="32"/>
      <c r="D19" s="30"/>
      <c r="E19" s="33" t="s">
        <v>7</v>
      </c>
    </row>
    <row r="20" spans="1:78" ht="15.6">
      <c r="A20" s="30">
        <v>18</v>
      </c>
      <c r="B20" s="31" t="s">
        <v>23</v>
      </c>
      <c r="C20" s="32"/>
      <c r="D20" s="30"/>
      <c r="E20" s="33" t="s">
        <v>8</v>
      </c>
    </row>
    <row r="21" spans="1:78" ht="15.6">
      <c r="A21" s="30">
        <v>19</v>
      </c>
      <c r="B21" s="31" t="s">
        <v>24</v>
      </c>
      <c r="C21" s="32"/>
      <c r="D21" s="30"/>
      <c r="E21" s="33" t="s">
        <v>8</v>
      </c>
    </row>
    <row r="22" spans="1:78" ht="15.6">
      <c r="A22" s="30">
        <v>20</v>
      </c>
      <c r="B22" s="31" t="s">
        <v>25</v>
      </c>
      <c r="C22" s="32"/>
      <c r="D22" s="30"/>
      <c r="E22" s="33" t="s">
        <v>7</v>
      </c>
    </row>
    <row r="23" spans="1:78" ht="15.6">
      <c r="A23" s="30">
        <v>21</v>
      </c>
      <c r="B23" s="31" t="s">
        <v>26</v>
      </c>
      <c r="C23" s="32"/>
      <c r="D23" s="30"/>
      <c r="E23" s="33" t="s">
        <v>8</v>
      </c>
    </row>
    <row r="24" spans="1:78" ht="15.6">
      <c r="A24" s="30">
        <v>22</v>
      </c>
      <c r="B24" s="31" t="s">
        <v>27</v>
      </c>
      <c r="C24" s="32"/>
      <c r="D24" s="30"/>
      <c r="E24" s="33" t="s">
        <v>7</v>
      </c>
    </row>
    <row r="25" spans="1:78" ht="16.2" thickBot="1">
      <c r="A25" s="34">
        <v>23</v>
      </c>
      <c r="B25" s="35" t="s">
        <v>28</v>
      </c>
      <c r="C25" s="36"/>
      <c r="D25" s="34"/>
      <c r="E25" s="37" t="s">
        <v>7</v>
      </c>
    </row>
    <row r="26" spans="1:78" s="6" customFormat="1" ht="17.25" customHeight="1" thickBot="1">
      <c r="A26" s="26" t="s">
        <v>29</v>
      </c>
      <c r="B26" s="28"/>
      <c r="C26" s="28"/>
      <c r="D26" s="27">
        <f>SUBTOTAL(109,Table13[Story Points])</f>
        <v>24</v>
      </c>
      <c r="E26" s="2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>
      <c r="A27" s="2"/>
      <c r="B27" s="2"/>
      <c r="C27" s="2"/>
      <c r="D27" s="2"/>
    </row>
    <row r="28" spans="1:78">
      <c r="A28" s="2"/>
      <c r="B28" s="2"/>
      <c r="C28" s="2"/>
      <c r="D28" s="2"/>
      <c r="F28" s="2"/>
      <c r="G28" s="2"/>
      <c r="H28" s="2"/>
    </row>
    <row r="29" spans="1:78">
      <c r="F29" s="2"/>
      <c r="G29" s="2"/>
      <c r="H29" s="2"/>
    </row>
    <row r="30" spans="1:78">
      <c r="F30" s="2"/>
      <c r="G30" s="2"/>
      <c r="H30" s="2"/>
    </row>
    <row r="31" spans="1:78">
      <c r="F31" s="2"/>
      <c r="G31" s="2"/>
      <c r="H31" s="2"/>
    </row>
    <row r="32" spans="1:78">
      <c r="F32" s="2"/>
      <c r="G32" s="2"/>
      <c r="H32" s="2"/>
    </row>
    <row r="33" spans="6:8">
      <c r="F33" s="2"/>
      <c r="G33" s="2"/>
      <c r="H33" s="2"/>
    </row>
    <row r="34" spans="6:8">
      <c r="F34" s="2"/>
      <c r="G34" s="2"/>
      <c r="H34" s="2"/>
    </row>
    <row r="35" spans="6:8">
      <c r="F35" s="2"/>
      <c r="G35" s="2"/>
      <c r="H35" s="2"/>
    </row>
    <row r="36" spans="6:8">
      <c r="F36" s="2"/>
      <c r="G36" s="2"/>
      <c r="H36" s="2"/>
    </row>
    <row r="37" spans="6:8">
      <c r="F37" s="2"/>
      <c r="G37" s="2"/>
      <c r="H37" s="2"/>
    </row>
    <row r="38" spans="6:8">
      <c r="F38" s="2"/>
      <c r="G38" s="2"/>
      <c r="H38" s="2"/>
    </row>
    <row r="39" spans="6:8">
      <c r="F39" s="2"/>
      <c r="G39" s="2"/>
      <c r="H39" s="2"/>
    </row>
    <row r="40" spans="6:8">
      <c r="F40" s="2"/>
      <c r="G40" s="2"/>
      <c r="H40" s="2"/>
    </row>
    <row r="41" spans="6:8">
      <c r="F41" s="2"/>
      <c r="G41" s="2"/>
      <c r="H41" s="2"/>
    </row>
    <row r="42" spans="6:8">
      <c r="F42" s="2"/>
      <c r="G42" s="2"/>
      <c r="H42" s="2"/>
    </row>
    <row r="43" spans="6:8">
      <c r="F43" s="2"/>
      <c r="G43" s="2"/>
      <c r="H43" s="2"/>
    </row>
    <row r="44" spans="6:8">
      <c r="F44" s="2"/>
      <c r="G44" s="2"/>
      <c r="H44" s="2"/>
    </row>
    <row r="45" spans="6:8">
      <c r="F45" s="2"/>
      <c r="G45" s="2"/>
      <c r="H45" s="2"/>
    </row>
    <row r="46" spans="6:8">
      <c r="F46" s="2"/>
      <c r="G46" s="2"/>
      <c r="H46" s="2"/>
    </row>
    <row r="47" spans="6:8">
      <c r="F47" s="2"/>
      <c r="G47" s="2"/>
      <c r="H47" s="2"/>
    </row>
    <row r="48" spans="6:8">
      <c r="F48" s="2"/>
      <c r="G48" s="2"/>
      <c r="H48" s="2"/>
    </row>
    <row r="49" spans="6:8">
      <c r="F49" s="2"/>
      <c r="G49" s="2"/>
      <c r="H49" s="2"/>
    </row>
    <row r="50" spans="6:8">
      <c r="F50" s="2"/>
      <c r="G50" s="2"/>
      <c r="H50" s="2"/>
    </row>
    <row r="51" spans="6:8">
      <c r="F51" s="2"/>
      <c r="G51" s="2"/>
      <c r="H51" s="2"/>
    </row>
    <row r="52" spans="6:8">
      <c r="F52" s="2"/>
      <c r="G52" s="2"/>
      <c r="H52" s="2"/>
    </row>
    <row r="53" spans="6:8">
      <c r="F53" s="2"/>
      <c r="G53" s="2"/>
      <c r="H53" s="2"/>
    </row>
    <row r="54" spans="6:8">
      <c r="F54" s="2"/>
      <c r="G54" s="2"/>
      <c r="H54" s="2"/>
    </row>
    <row r="55" spans="6:8">
      <c r="F55" s="2"/>
      <c r="G55" s="2"/>
      <c r="H55" s="2"/>
    </row>
    <row r="56" spans="6:8">
      <c r="F56" s="2"/>
      <c r="G56" s="2"/>
      <c r="H56" s="2"/>
    </row>
    <row r="57" spans="6:8">
      <c r="F57" s="2"/>
      <c r="G57" s="2"/>
      <c r="H57" s="2"/>
    </row>
    <row r="58" spans="6:8">
      <c r="F58" s="2"/>
      <c r="G58" s="2"/>
      <c r="H58" s="2"/>
    </row>
    <row r="59" spans="6:8">
      <c r="F59" s="2"/>
      <c r="G59" s="2"/>
      <c r="H59" s="2"/>
    </row>
    <row r="60" spans="6:8">
      <c r="F60" s="2"/>
      <c r="G60" s="2"/>
      <c r="H60" s="2"/>
    </row>
    <row r="61" spans="6:8">
      <c r="F61" s="2"/>
      <c r="G61" s="2"/>
      <c r="H61" s="2"/>
    </row>
    <row r="62" spans="6:8">
      <c r="F62" s="2"/>
      <c r="G62" s="2"/>
      <c r="H62" s="2"/>
    </row>
    <row r="63" spans="6:8">
      <c r="F63" s="2"/>
      <c r="G63" s="2"/>
      <c r="H63" s="2"/>
    </row>
    <row r="64" spans="6:8">
      <c r="F64" s="2"/>
      <c r="G64" s="2"/>
      <c r="H64" s="2"/>
    </row>
    <row r="65" spans="6:8">
      <c r="F65" s="2"/>
      <c r="G65" s="2"/>
      <c r="H65" s="2"/>
    </row>
    <row r="66" spans="6:8">
      <c r="F66" s="2"/>
      <c r="G66" s="2"/>
      <c r="H66" s="2"/>
    </row>
    <row r="67" spans="6:8">
      <c r="F67" s="2"/>
      <c r="G67" s="2"/>
      <c r="H67" s="2"/>
    </row>
    <row r="68" spans="6:8">
      <c r="F68" s="2"/>
      <c r="G68" s="2"/>
      <c r="H68" s="2"/>
    </row>
    <row r="69" spans="6:8">
      <c r="F69" s="2"/>
      <c r="G69" s="2"/>
      <c r="H69" s="2"/>
    </row>
    <row r="70" spans="6:8">
      <c r="F70" s="2"/>
      <c r="G70" s="2"/>
      <c r="H70" s="2"/>
    </row>
    <row r="71" spans="6:8">
      <c r="F71" s="2"/>
      <c r="G71" s="2"/>
      <c r="H71" s="2"/>
    </row>
    <row r="72" spans="6:8">
      <c r="F72" s="2"/>
      <c r="G72" s="2"/>
      <c r="H72" s="2"/>
    </row>
    <row r="73" spans="6:8">
      <c r="F73" s="2"/>
      <c r="G73" s="2"/>
      <c r="H73" s="2"/>
    </row>
    <row r="74" spans="6:8">
      <c r="F74" s="2"/>
      <c r="G74" s="2"/>
      <c r="H74" s="2"/>
    </row>
    <row r="75" spans="6:8">
      <c r="F75" s="2"/>
      <c r="G75" s="2"/>
      <c r="H75" s="2"/>
    </row>
    <row r="76" spans="6:8">
      <c r="F76" s="2"/>
      <c r="G76" s="2"/>
      <c r="H76" s="2"/>
    </row>
    <row r="77" spans="6:8">
      <c r="F77" s="2"/>
      <c r="G77" s="2"/>
      <c r="H77" s="2"/>
    </row>
    <row r="78" spans="6:8">
      <c r="F78" s="2"/>
      <c r="G78" s="2"/>
      <c r="H78" s="2"/>
    </row>
    <row r="79" spans="6:8">
      <c r="F79" s="2"/>
      <c r="G79" s="2"/>
      <c r="H79" s="2"/>
    </row>
    <row r="80" spans="6:8">
      <c r="F80" s="2"/>
      <c r="G80" s="2"/>
      <c r="H80" s="2"/>
    </row>
    <row r="81" spans="6:8">
      <c r="F81" s="2"/>
      <c r="G81" s="2"/>
      <c r="H81" s="2"/>
    </row>
    <row r="82" spans="6:8">
      <c r="F82" s="2"/>
      <c r="G82" s="2"/>
      <c r="H82" s="2"/>
    </row>
    <row r="83" spans="6:8">
      <c r="F83" s="2"/>
      <c r="G83" s="2"/>
      <c r="H83" s="2"/>
    </row>
    <row r="84" spans="6:8">
      <c r="F84" s="2"/>
      <c r="G84" s="2"/>
      <c r="H84" s="2"/>
    </row>
    <row r="85" spans="6:8">
      <c r="F85" s="2"/>
      <c r="G85" s="2"/>
      <c r="H85" s="2"/>
    </row>
    <row r="86" spans="6:8">
      <c r="F86" s="2"/>
      <c r="G86" s="2"/>
      <c r="H86" s="2"/>
    </row>
    <row r="87" spans="6:8">
      <c r="F87" s="2"/>
      <c r="G87" s="2"/>
      <c r="H87" s="2"/>
    </row>
    <row r="88" spans="6:8">
      <c r="F88" s="2"/>
      <c r="G88" s="2"/>
      <c r="H88" s="2"/>
    </row>
    <row r="89" spans="6:8">
      <c r="F89" s="2"/>
      <c r="G89" s="2"/>
      <c r="H89" s="2"/>
    </row>
    <row r="90" spans="6:8">
      <c r="F90" s="2"/>
      <c r="G90" s="2"/>
      <c r="H90" s="2"/>
    </row>
    <row r="91" spans="6:8">
      <c r="F91" s="2"/>
      <c r="G91" s="2"/>
      <c r="H91" s="2"/>
    </row>
    <row r="92" spans="6:8">
      <c r="F92" s="2"/>
      <c r="G92" s="2"/>
      <c r="H92" s="2"/>
    </row>
    <row r="93" spans="6:8">
      <c r="F93" s="2"/>
      <c r="G93" s="2"/>
      <c r="H93" s="2"/>
    </row>
    <row r="94" spans="6:8">
      <c r="F94" s="2"/>
      <c r="G94" s="2"/>
      <c r="H94" s="2"/>
    </row>
    <row r="95" spans="6:8">
      <c r="F95" s="2"/>
      <c r="G95" s="2"/>
      <c r="H95" s="2"/>
    </row>
    <row r="96" spans="6:8">
      <c r="F96" s="2"/>
      <c r="G96" s="2"/>
      <c r="H96" s="2"/>
    </row>
    <row r="97" spans="6:8">
      <c r="F97" s="2"/>
      <c r="G97" s="2"/>
      <c r="H97" s="2"/>
    </row>
    <row r="98" spans="6:8">
      <c r="F98" s="2"/>
      <c r="G98" s="2"/>
      <c r="H98" s="2"/>
    </row>
    <row r="99" spans="6:8">
      <c r="F99" s="2"/>
      <c r="G99" s="2"/>
      <c r="H99" s="2"/>
    </row>
    <row r="100" spans="6:8">
      <c r="F100" s="2"/>
      <c r="G100" s="2"/>
      <c r="H100" s="2"/>
    </row>
    <row r="101" spans="6:8">
      <c r="F101" s="2"/>
      <c r="G101" s="2"/>
      <c r="H101" s="2"/>
    </row>
    <row r="102" spans="6:8">
      <c r="F102" s="2"/>
      <c r="G102" s="2"/>
      <c r="H102" s="2"/>
    </row>
    <row r="103" spans="6:8">
      <c r="F103" s="2"/>
      <c r="G103" s="2"/>
      <c r="H103" s="2"/>
    </row>
    <row r="104" spans="6:8">
      <c r="F104" s="2"/>
      <c r="G104" s="2"/>
      <c r="H104" s="2"/>
    </row>
    <row r="105" spans="6:8">
      <c r="F105" s="2"/>
      <c r="G105" s="2"/>
      <c r="H105" s="2"/>
    </row>
    <row r="106" spans="6:8">
      <c r="F106" s="2"/>
      <c r="G106" s="2"/>
      <c r="H106" s="2"/>
    </row>
    <row r="107" spans="6:8">
      <c r="F107" s="2"/>
      <c r="G107" s="2"/>
      <c r="H107" s="2"/>
    </row>
    <row r="108" spans="6:8">
      <c r="F108" s="2"/>
      <c r="G108" s="2"/>
      <c r="H108" s="2"/>
    </row>
    <row r="109" spans="6:8">
      <c r="F109" s="2"/>
      <c r="G109" s="2"/>
      <c r="H109" s="2"/>
    </row>
    <row r="110" spans="6:8">
      <c r="F110" s="2"/>
      <c r="G110" s="2"/>
      <c r="H110" s="2"/>
    </row>
    <row r="111" spans="6:8">
      <c r="F111" s="2"/>
      <c r="G111" s="2"/>
      <c r="H111" s="2"/>
    </row>
    <row r="112" spans="6:8">
      <c r="F112" s="2"/>
      <c r="G112" s="2"/>
      <c r="H112" s="2"/>
    </row>
    <row r="113" spans="6:8">
      <c r="F113" s="2"/>
      <c r="G113" s="2"/>
      <c r="H113" s="2"/>
    </row>
    <row r="114" spans="6:8">
      <c r="F114" s="2"/>
      <c r="G114" s="2"/>
      <c r="H114" s="2"/>
    </row>
    <row r="115" spans="6:8">
      <c r="F115" s="2"/>
      <c r="G115" s="2"/>
      <c r="H115" s="2"/>
    </row>
    <row r="116" spans="6:8">
      <c r="F116" s="2"/>
      <c r="G116" s="2"/>
      <c r="H116" s="2"/>
    </row>
    <row r="117" spans="6:8">
      <c r="F117" s="2"/>
      <c r="G117" s="2"/>
      <c r="H117" s="2"/>
    </row>
    <row r="118" spans="6:8">
      <c r="F118" s="2"/>
      <c r="G118" s="2"/>
      <c r="H118" s="2"/>
    </row>
    <row r="119" spans="6:8">
      <c r="F119" s="2"/>
      <c r="G119" s="2"/>
      <c r="H119" s="2"/>
    </row>
    <row r="120" spans="6:8">
      <c r="F120" s="2"/>
      <c r="G120" s="2"/>
      <c r="H120" s="2"/>
    </row>
    <row r="121" spans="6:8">
      <c r="F121" s="2"/>
      <c r="G121" s="2"/>
      <c r="H121" s="2"/>
    </row>
    <row r="122" spans="6:8">
      <c r="F122" s="2"/>
      <c r="G122" s="2"/>
      <c r="H122" s="2"/>
    </row>
    <row r="123" spans="6:8">
      <c r="F123" s="2"/>
      <c r="G123" s="2"/>
      <c r="H123" s="2"/>
    </row>
    <row r="124" spans="6:8">
      <c r="F124" s="2"/>
      <c r="G124" s="2"/>
      <c r="H124" s="2"/>
    </row>
    <row r="125" spans="6:8">
      <c r="F125" s="2"/>
      <c r="G125" s="2"/>
      <c r="H125" s="2"/>
    </row>
    <row r="126" spans="6:8">
      <c r="F126" s="2"/>
      <c r="G126" s="2"/>
      <c r="H126" s="2"/>
    </row>
    <row r="127" spans="6:8">
      <c r="F127" s="2"/>
      <c r="G127" s="2"/>
      <c r="H127" s="2"/>
    </row>
    <row r="128" spans="6:8">
      <c r="F128" s="2"/>
      <c r="G128" s="2"/>
      <c r="H128" s="2"/>
    </row>
    <row r="129" spans="6:8">
      <c r="F129" s="2"/>
      <c r="G129" s="2"/>
      <c r="H129" s="2"/>
    </row>
    <row r="130" spans="6:8">
      <c r="F130" s="2"/>
      <c r="G130" s="2"/>
      <c r="H130" s="2"/>
    </row>
    <row r="131" spans="6:8">
      <c r="F131" s="2"/>
      <c r="G131" s="2"/>
      <c r="H131" s="2"/>
    </row>
    <row r="132" spans="6:8">
      <c r="F132" s="2"/>
      <c r="G132" s="2"/>
      <c r="H132" s="2"/>
    </row>
    <row r="133" spans="6:8">
      <c r="F133" s="2"/>
      <c r="G133" s="2"/>
      <c r="H133" s="2"/>
    </row>
    <row r="134" spans="6:8">
      <c r="F134" s="2"/>
      <c r="G134" s="2"/>
      <c r="H134" s="2"/>
    </row>
    <row r="135" spans="6:8">
      <c r="F135" s="2"/>
      <c r="G135" s="2"/>
      <c r="H135" s="2"/>
    </row>
    <row r="136" spans="6:8">
      <c r="F136" s="2"/>
      <c r="G136" s="2"/>
      <c r="H136" s="2"/>
    </row>
    <row r="137" spans="6:8">
      <c r="F137" s="2"/>
      <c r="G137" s="2"/>
      <c r="H137" s="2"/>
    </row>
    <row r="138" spans="6:8">
      <c r="F138" s="2"/>
      <c r="G138" s="2"/>
      <c r="H138" s="2"/>
    </row>
    <row r="139" spans="6:8">
      <c r="F139" s="2"/>
      <c r="G139" s="2"/>
      <c r="H139" s="2"/>
    </row>
    <row r="140" spans="6:8">
      <c r="F140" s="2"/>
      <c r="G140" s="2"/>
      <c r="H140" s="2"/>
    </row>
    <row r="141" spans="6:8">
      <c r="F141" s="2"/>
      <c r="G141" s="2"/>
      <c r="H141" s="2"/>
    </row>
    <row r="142" spans="6:8">
      <c r="F142" s="2"/>
      <c r="G142" s="2"/>
      <c r="H142" s="2"/>
    </row>
    <row r="143" spans="6:8">
      <c r="F143" s="2"/>
      <c r="G143" s="2"/>
      <c r="H143" s="2"/>
    </row>
    <row r="144" spans="6:8">
      <c r="F144" s="2"/>
      <c r="G144" s="2"/>
      <c r="H144" s="2"/>
    </row>
    <row r="145" spans="6:8">
      <c r="F145" s="2"/>
      <c r="G145" s="2"/>
      <c r="H145" s="2"/>
    </row>
    <row r="146" spans="6:8">
      <c r="F146" s="2"/>
      <c r="G146" s="2"/>
      <c r="H146" s="2"/>
    </row>
    <row r="147" spans="6:8">
      <c r="F147" s="2"/>
      <c r="G147" s="2"/>
      <c r="H147" s="2"/>
    </row>
    <row r="148" spans="6:8">
      <c r="F148" s="2"/>
      <c r="G148" s="2"/>
      <c r="H148" s="2"/>
    </row>
    <row r="149" spans="6:8">
      <c r="F149" s="2"/>
      <c r="G149" s="2"/>
      <c r="H149" s="2"/>
    </row>
    <row r="150" spans="6:8">
      <c r="F150" s="2"/>
      <c r="G150" s="2"/>
      <c r="H150" s="2"/>
    </row>
    <row r="151" spans="6:8">
      <c r="F151" s="2"/>
      <c r="G151" s="2"/>
      <c r="H151" s="2"/>
    </row>
    <row r="152" spans="6:8">
      <c r="F152" s="2"/>
      <c r="G152" s="2"/>
      <c r="H152" s="2"/>
    </row>
    <row r="153" spans="6:8">
      <c r="F153" s="2"/>
      <c r="G153" s="2"/>
      <c r="H153" s="2"/>
    </row>
    <row r="154" spans="6:8">
      <c r="F154" s="2"/>
      <c r="G154" s="2"/>
      <c r="H154" s="2"/>
    </row>
    <row r="155" spans="6:8">
      <c r="F155" s="2"/>
      <c r="G155" s="2"/>
      <c r="H155" s="2"/>
    </row>
    <row r="156" spans="6:8">
      <c r="F156" s="2"/>
      <c r="G156" s="2"/>
      <c r="H156" s="2"/>
    </row>
    <row r="157" spans="6:8">
      <c r="F157" s="2"/>
      <c r="G157" s="2"/>
      <c r="H157" s="2"/>
    </row>
    <row r="158" spans="6:8">
      <c r="F158" s="2"/>
      <c r="G158" s="2"/>
      <c r="H158" s="2"/>
    </row>
    <row r="159" spans="6:8">
      <c r="F159" s="2"/>
      <c r="G159" s="2"/>
      <c r="H159" s="2"/>
    </row>
    <row r="160" spans="6:8">
      <c r="F160" s="2"/>
      <c r="G160" s="2"/>
      <c r="H160" s="2"/>
    </row>
    <row r="161" spans="6:8">
      <c r="F161" s="2"/>
      <c r="G161" s="2"/>
      <c r="H161" s="2"/>
    </row>
    <row r="162" spans="6:8">
      <c r="F162" s="2"/>
      <c r="G162" s="2"/>
      <c r="H162" s="2"/>
    </row>
    <row r="163" spans="6:8">
      <c r="F163" s="2"/>
      <c r="G163" s="2"/>
      <c r="H163" s="2"/>
    </row>
    <row r="164" spans="6:8">
      <c r="F164" s="2"/>
      <c r="G164" s="2"/>
      <c r="H164" s="2"/>
    </row>
    <row r="165" spans="6:8">
      <c r="F165" s="2"/>
      <c r="G165" s="2"/>
      <c r="H165" s="2"/>
    </row>
    <row r="166" spans="6:8">
      <c r="F166" s="2"/>
      <c r="G166" s="2"/>
      <c r="H166" s="2"/>
    </row>
    <row r="167" spans="6:8">
      <c r="F167" s="2"/>
      <c r="G167" s="2"/>
      <c r="H167" s="2"/>
    </row>
    <row r="168" spans="6:8">
      <c r="F168" s="2"/>
      <c r="G168" s="2"/>
      <c r="H168" s="2"/>
    </row>
    <row r="169" spans="6:8">
      <c r="F169" s="2"/>
      <c r="G169" s="2"/>
      <c r="H169" s="2"/>
    </row>
    <row r="170" spans="6:8">
      <c r="F170" s="2"/>
      <c r="G170" s="2"/>
      <c r="H170" s="2"/>
    </row>
    <row r="171" spans="6:8">
      <c r="F171" s="2"/>
      <c r="G171" s="2"/>
      <c r="H171" s="2"/>
    </row>
    <row r="172" spans="6:8">
      <c r="F172" s="2"/>
      <c r="G172" s="2"/>
      <c r="H172" s="2"/>
    </row>
    <row r="173" spans="6:8">
      <c r="F173" s="2"/>
      <c r="G173" s="2"/>
      <c r="H173" s="2"/>
    </row>
    <row r="174" spans="6:8">
      <c r="F174" s="2"/>
      <c r="G174" s="2"/>
      <c r="H174" s="2"/>
    </row>
    <row r="175" spans="6:8">
      <c r="F175" s="2"/>
      <c r="G175" s="2"/>
      <c r="H175" s="2"/>
    </row>
    <row r="176" spans="6:8">
      <c r="F176" s="2"/>
      <c r="G176" s="2"/>
      <c r="H176" s="2"/>
    </row>
    <row r="177" spans="6:8">
      <c r="F177" s="2"/>
      <c r="G177" s="2"/>
      <c r="H177" s="2"/>
    </row>
    <row r="178" spans="6:8">
      <c r="F178" s="2"/>
      <c r="G178" s="2"/>
      <c r="H178" s="2"/>
    </row>
    <row r="179" spans="6:8">
      <c r="F179" s="2"/>
      <c r="G179" s="2"/>
      <c r="H179" s="2"/>
    </row>
    <row r="180" spans="6:8">
      <c r="F180" s="2"/>
      <c r="G180" s="2"/>
      <c r="H180" s="2"/>
    </row>
    <row r="181" spans="6:8">
      <c r="F181" s="2"/>
      <c r="G181" s="2"/>
      <c r="H181" s="2"/>
    </row>
    <row r="182" spans="6:8">
      <c r="F182" s="2"/>
      <c r="G182" s="2"/>
      <c r="H182" s="2"/>
    </row>
    <row r="183" spans="6:8">
      <c r="F183" s="2"/>
      <c r="G183" s="2"/>
      <c r="H183" s="2"/>
    </row>
    <row r="184" spans="6:8">
      <c r="F184" s="2"/>
      <c r="G184" s="2"/>
      <c r="H184" s="2"/>
    </row>
    <row r="185" spans="6:8">
      <c r="F185" s="2"/>
      <c r="G185" s="2"/>
      <c r="H185" s="2"/>
    </row>
    <row r="186" spans="6:8">
      <c r="F186" s="2"/>
      <c r="G186" s="2"/>
      <c r="H186" s="2"/>
    </row>
    <row r="187" spans="6:8">
      <c r="F187" s="2"/>
      <c r="G187" s="2"/>
      <c r="H187" s="2"/>
    </row>
    <row r="188" spans="6:8">
      <c r="F188" s="2"/>
      <c r="G188" s="2"/>
      <c r="H188" s="2"/>
    </row>
    <row r="189" spans="6:8">
      <c r="F189" s="2"/>
      <c r="G189" s="2"/>
      <c r="H189" s="2"/>
    </row>
    <row r="190" spans="6:8">
      <c r="F190" s="2"/>
      <c r="G190" s="2"/>
      <c r="H190" s="2"/>
    </row>
    <row r="191" spans="6:8">
      <c r="F191" s="2"/>
      <c r="G191" s="2"/>
      <c r="H191" s="2"/>
    </row>
    <row r="192" spans="6:8">
      <c r="F192" s="2"/>
      <c r="G192" s="2"/>
      <c r="H192" s="2"/>
    </row>
    <row r="193" spans="6:8">
      <c r="F193" s="2"/>
      <c r="G193" s="2"/>
      <c r="H193" s="2"/>
    </row>
    <row r="194" spans="6:8">
      <c r="F194" s="2"/>
      <c r="G194" s="2"/>
      <c r="H194" s="2"/>
    </row>
    <row r="195" spans="6:8">
      <c r="F195" s="2"/>
      <c r="G195" s="2"/>
      <c r="H195" s="2"/>
    </row>
    <row r="196" spans="6:8">
      <c r="F196" s="2"/>
      <c r="G196" s="2"/>
      <c r="H196" s="2"/>
    </row>
    <row r="197" spans="6:8">
      <c r="F197" s="2"/>
      <c r="G197" s="2"/>
      <c r="H197" s="2"/>
    </row>
    <row r="198" spans="6:8">
      <c r="F198" s="2"/>
      <c r="G198" s="2"/>
      <c r="H198" s="2"/>
    </row>
    <row r="199" spans="6:8">
      <c r="F199" s="2"/>
      <c r="G199" s="2"/>
      <c r="H199" s="2"/>
    </row>
    <row r="200" spans="6:8">
      <c r="F200" s="2"/>
      <c r="G200" s="2"/>
      <c r="H200" s="2"/>
    </row>
    <row r="201" spans="6:8">
      <c r="F201" s="2"/>
      <c r="G201" s="2"/>
      <c r="H201" s="2"/>
    </row>
    <row r="202" spans="6:8">
      <c r="F202" s="2"/>
      <c r="G202" s="2"/>
      <c r="H202" s="2"/>
    </row>
    <row r="203" spans="6:8">
      <c r="F203" s="2"/>
      <c r="G203" s="2"/>
      <c r="H203" s="2"/>
    </row>
    <row r="204" spans="6:8">
      <c r="F204" s="2"/>
      <c r="G204" s="2"/>
      <c r="H204" s="2"/>
    </row>
    <row r="205" spans="6:8">
      <c r="F205" s="2"/>
      <c r="G205" s="2"/>
      <c r="H205" s="2"/>
    </row>
    <row r="206" spans="6:8">
      <c r="F206" s="2"/>
      <c r="G206" s="2"/>
      <c r="H206" s="2"/>
    </row>
    <row r="207" spans="6:8">
      <c r="F207" s="2"/>
      <c r="G207" s="2"/>
      <c r="H207" s="2"/>
    </row>
    <row r="208" spans="6:8">
      <c r="F208" s="2"/>
      <c r="G208" s="2"/>
      <c r="H208" s="2"/>
    </row>
    <row r="209" spans="6:8">
      <c r="F209" s="2"/>
      <c r="G209" s="2"/>
      <c r="H209" s="2"/>
    </row>
    <row r="210" spans="6:8">
      <c r="F210" s="2"/>
      <c r="G210" s="2"/>
      <c r="H210" s="2"/>
    </row>
    <row r="211" spans="6:8">
      <c r="F211" s="2"/>
      <c r="G211" s="2"/>
      <c r="H211" s="2"/>
    </row>
    <row r="212" spans="6:8">
      <c r="F212" s="2"/>
      <c r="G212" s="2"/>
      <c r="H212" s="2"/>
    </row>
    <row r="213" spans="6:8">
      <c r="F213" s="2"/>
      <c r="G213" s="2"/>
      <c r="H213" s="2"/>
    </row>
    <row r="214" spans="6:8">
      <c r="F214" s="2"/>
      <c r="G214" s="2"/>
      <c r="H214" s="2"/>
    </row>
    <row r="215" spans="6:8">
      <c r="F215" s="2"/>
      <c r="G215" s="2"/>
      <c r="H215" s="2"/>
    </row>
    <row r="216" spans="6:8">
      <c r="F216" s="2"/>
      <c r="G216" s="2"/>
      <c r="H216" s="2"/>
    </row>
    <row r="217" spans="6:8">
      <c r="F217" s="2"/>
      <c r="G217" s="2"/>
      <c r="H217" s="2"/>
    </row>
    <row r="218" spans="6:8">
      <c r="F218" s="2"/>
      <c r="G218" s="2"/>
      <c r="H218" s="2"/>
    </row>
    <row r="219" spans="6:8">
      <c r="F219" s="2"/>
      <c r="G219" s="2"/>
      <c r="H219" s="2"/>
    </row>
    <row r="220" spans="6:8">
      <c r="F220" s="2"/>
      <c r="G220" s="2"/>
      <c r="H220" s="2"/>
    </row>
    <row r="221" spans="6:8">
      <c r="F221" s="2"/>
      <c r="G221" s="2"/>
      <c r="H221" s="2"/>
    </row>
    <row r="222" spans="6:8">
      <c r="F222" s="2"/>
      <c r="G222" s="2"/>
      <c r="H222" s="2"/>
    </row>
    <row r="223" spans="6:8">
      <c r="F223" s="2"/>
      <c r="G223" s="2"/>
      <c r="H223" s="2"/>
    </row>
    <row r="224" spans="6:8">
      <c r="F224" s="2"/>
      <c r="G224" s="2"/>
      <c r="H224" s="2"/>
    </row>
    <row r="225" spans="6:8">
      <c r="F225" s="2"/>
      <c r="G225" s="2"/>
      <c r="H225" s="2"/>
    </row>
    <row r="226" spans="6:8">
      <c r="F226" s="2"/>
      <c r="G226" s="2"/>
      <c r="H226" s="2"/>
    </row>
    <row r="227" spans="6:8">
      <c r="F227" s="2"/>
      <c r="G227" s="2"/>
      <c r="H227" s="2"/>
    </row>
    <row r="228" spans="6:8">
      <c r="F228" s="2"/>
      <c r="G228" s="2"/>
      <c r="H228" s="2"/>
    </row>
    <row r="229" spans="6:8">
      <c r="F229" s="2"/>
      <c r="G229" s="2"/>
      <c r="H229" s="2"/>
    </row>
    <row r="230" spans="6:8">
      <c r="F230" s="2"/>
      <c r="G230" s="2"/>
      <c r="H230" s="2"/>
    </row>
    <row r="231" spans="6:8">
      <c r="F231" s="2"/>
      <c r="G231" s="2"/>
      <c r="H231" s="2"/>
    </row>
    <row r="232" spans="6:8">
      <c r="F232" s="2"/>
      <c r="G232" s="2"/>
      <c r="H232" s="2"/>
    </row>
    <row r="233" spans="6:8">
      <c r="F233" s="2"/>
      <c r="G233" s="2"/>
      <c r="H233" s="2"/>
    </row>
    <row r="234" spans="6:8">
      <c r="F234" s="2"/>
      <c r="G234" s="2"/>
      <c r="H234" s="2"/>
    </row>
    <row r="235" spans="6:8">
      <c r="F235" s="2"/>
      <c r="G235" s="2"/>
      <c r="H235" s="2"/>
    </row>
    <row r="236" spans="6:8">
      <c r="F236" s="2"/>
      <c r="G236" s="2"/>
      <c r="H236" s="2"/>
    </row>
    <row r="237" spans="6:8">
      <c r="F237" s="2"/>
      <c r="G237" s="2"/>
      <c r="H237" s="2"/>
    </row>
    <row r="238" spans="6:8">
      <c r="F238" s="2"/>
      <c r="G238" s="2"/>
      <c r="H238" s="2"/>
    </row>
    <row r="239" spans="6:8">
      <c r="F239" s="2"/>
      <c r="G239" s="2"/>
      <c r="H239" s="2"/>
    </row>
    <row r="240" spans="6:8">
      <c r="F240" s="2"/>
      <c r="G240" s="2"/>
      <c r="H240" s="2"/>
    </row>
    <row r="241" spans="6:8">
      <c r="F241" s="2"/>
      <c r="G241" s="2"/>
      <c r="H241" s="2"/>
    </row>
    <row r="242" spans="6:8">
      <c r="F242" s="2"/>
      <c r="G242" s="2"/>
      <c r="H242" s="2"/>
    </row>
    <row r="243" spans="6:8">
      <c r="F243" s="2"/>
      <c r="G243" s="2"/>
      <c r="H243" s="2"/>
    </row>
    <row r="244" spans="6:8">
      <c r="F244" s="2"/>
      <c r="G244" s="2"/>
      <c r="H244" s="2"/>
    </row>
    <row r="245" spans="6:8">
      <c r="F245" s="2"/>
      <c r="G245" s="2"/>
      <c r="H245" s="2"/>
    </row>
    <row r="246" spans="6:8">
      <c r="F246" s="2"/>
      <c r="G246" s="2"/>
      <c r="H246" s="2"/>
    </row>
    <row r="247" spans="6:8">
      <c r="F247" s="2"/>
      <c r="G247" s="2"/>
      <c r="H247" s="2"/>
    </row>
    <row r="248" spans="6:8">
      <c r="F248" s="2"/>
      <c r="G248" s="2"/>
      <c r="H248" s="2"/>
    </row>
    <row r="249" spans="6:8">
      <c r="F249" s="2"/>
      <c r="G249" s="2"/>
      <c r="H249" s="2"/>
    </row>
    <row r="250" spans="6:8">
      <c r="F250" s="2"/>
      <c r="G250" s="2"/>
      <c r="H250" s="2"/>
    </row>
    <row r="251" spans="6:8">
      <c r="F251" s="2"/>
      <c r="G251" s="2"/>
      <c r="H251" s="2"/>
    </row>
    <row r="252" spans="6:8">
      <c r="F252" s="2"/>
      <c r="G252" s="2"/>
      <c r="H252" s="2"/>
    </row>
    <row r="253" spans="6:8">
      <c r="F253" s="2"/>
      <c r="G253" s="2"/>
      <c r="H253" s="2"/>
    </row>
    <row r="254" spans="6:8">
      <c r="F254" s="2"/>
      <c r="G254" s="2"/>
      <c r="H254" s="2"/>
    </row>
    <row r="255" spans="6:8">
      <c r="F255" s="2"/>
      <c r="G255" s="2"/>
      <c r="H255" s="2"/>
    </row>
    <row r="256" spans="6:8">
      <c r="F256" s="2"/>
      <c r="G256" s="2"/>
      <c r="H256" s="2"/>
    </row>
    <row r="257" spans="6:8">
      <c r="F257" s="2"/>
      <c r="G257" s="2"/>
      <c r="H257" s="2"/>
    </row>
    <row r="258" spans="6:8">
      <c r="F258" s="2"/>
      <c r="G258" s="2"/>
      <c r="H258" s="2"/>
    </row>
    <row r="259" spans="6:8">
      <c r="F259" s="2"/>
      <c r="G259" s="2"/>
      <c r="H259" s="2"/>
    </row>
    <row r="260" spans="6:8">
      <c r="F260" s="2"/>
      <c r="G260" s="2"/>
      <c r="H260" s="2"/>
    </row>
    <row r="261" spans="6:8">
      <c r="F261" s="2"/>
      <c r="G261" s="2"/>
      <c r="H261" s="2"/>
    </row>
    <row r="262" spans="6:8">
      <c r="F262" s="2"/>
      <c r="G262" s="2"/>
      <c r="H262" s="2"/>
    </row>
    <row r="263" spans="6:8">
      <c r="F263" s="2"/>
      <c r="G263" s="2"/>
      <c r="H263" s="2"/>
    </row>
    <row r="264" spans="6:8">
      <c r="F264" s="2"/>
      <c r="G264" s="2"/>
      <c r="H264" s="2"/>
    </row>
    <row r="265" spans="6:8">
      <c r="F265" s="2"/>
      <c r="G265" s="2"/>
      <c r="H265" s="2"/>
    </row>
    <row r="266" spans="6:8">
      <c r="F266" s="2"/>
      <c r="G266" s="2"/>
      <c r="H266" s="2"/>
    </row>
    <row r="267" spans="6:8">
      <c r="F267" s="2"/>
      <c r="G267" s="2"/>
      <c r="H267" s="2"/>
    </row>
    <row r="268" spans="6:8">
      <c r="F268" s="2"/>
      <c r="G268" s="2"/>
      <c r="H268" s="2"/>
    </row>
    <row r="269" spans="6:8">
      <c r="F269" s="2"/>
      <c r="G269" s="2"/>
      <c r="H269" s="2"/>
    </row>
    <row r="270" spans="6:8">
      <c r="F270" s="2"/>
      <c r="G270" s="2"/>
      <c r="H270" s="2"/>
    </row>
    <row r="271" spans="6:8">
      <c r="F271" s="2"/>
      <c r="G271" s="2"/>
      <c r="H271" s="2"/>
    </row>
    <row r="272" spans="6:8">
      <c r="F272" s="2"/>
      <c r="G272" s="2"/>
      <c r="H272" s="2"/>
    </row>
    <row r="273" spans="6:8">
      <c r="F273" s="2"/>
      <c r="G273" s="2"/>
      <c r="H273" s="2"/>
    </row>
    <row r="274" spans="6:8">
      <c r="F274" s="2"/>
      <c r="G274" s="2"/>
      <c r="H274" s="2"/>
    </row>
    <row r="275" spans="6:8">
      <c r="F275" s="2"/>
      <c r="G275" s="2"/>
      <c r="H275" s="2"/>
    </row>
    <row r="276" spans="6:8">
      <c r="F276" s="2"/>
      <c r="G276" s="2"/>
      <c r="H276" s="2"/>
    </row>
    <row r="277" spans="6:8">
      <c r="F277" s="2"/>
      <c r="G277" s="2"/>
      <c r="H277" s="2"/>
    </row>
    <row r="278" spans="6:8">
      <c r="F278" s="2"/>
      <c r="G278" s="2"/>
      <c r="H278" s="2"/>
    </row>
    <row r="279" spans="6:8">
      <c r="F279" s="2"/>
      <c r="G279" s="2"/>
      <c r="H279" s="2"/>
    </row>
    <row r="280" spans="6:8">
      <c r="F280" s="2"/>
      <c r="G280" s="2"/>
      <c r="H280" s="2"/>
    </row>
    <row r="281" spans="6:8">
      <c r="F281" s="2"/>
      <c r="G281" s="2"/>
      <c r="H281" s="2"/>
    </row>
    <row r="282" spans="6:8">
      <c r="F282" s="2"/>
      <c r="G282" s="2"/>
      <c r="H282" s="2"/>
    </row>
    <row r="283" spans="6:8">
      <c r="F283" s="2"/>
      <c r="G283" s="2"/>
      <c r="H283" s="2"/>
    </row>
    <row r="284" spans="6:8">
      <c r="F284" s="2"/>
      <c r="G284" s="2"/>
      <c r="H284" s="2"/>
    </row>
    <row r="285" spans="6:8">
      <c r="F285" s="2"/>
      <c r="G285" s="2"/>
      <c r="H285" s="2"/>
    </row>
    <row r="286" spans="6:8">
      <c r="F286" s="2"/>
      <c r="G286" s="2"/>
      <c r="H286" s="2"/>
    </row>
    <row r="287" spans="6:8">
      <c r="F287" s="2"/>
      <c r="G287" s="2"/>
      <c r="H287" s="2"/>
    </row>
    <row r="288" spans="6:8">
      <c r="F288" s="2"/>
      <c r="G288" s="2"/>
      <c r="H288" s="2"/>
    </row>
    <row r="289" spans="6:8">
      <c r="F289" s="2"/>
      <c r="G289" s="2"/>
      <c r="H289" s="2"/>
    </row>
    <row r="290" spans="6:8">
      <c r="F290" s="2"/>
      <c r="G290" s="2"/>
      <c r="H290" s="2"/>
    </row>
    <row r="291" spans="6:8">
      <c r="F291" s="2"/>
      <c r="G291" s="2"/>
      <c r="H291" s="2"/>
    </row>
    <row r="292" spans="6:8">
      <c r="F292" s="2"/>
      <c r="G292" s="2"/>
      <c r="H292" s="2"/>
    </row>
    <row r="293" spans="6:8">
      <c r="F293" s="2"/>
      <c r="G293" s="2"/>
      <c r="H293" s="2"/>
    </row>
    <row r="294" spans="6:8">
      <c r="F294" s="2"/>
      <c r="G294" s="2"/>
      <c r="H294" s="2"/>
    </row>
    <row r="295" spans="6:8">
      <c r="F295" s="2"/>
      <c r="G295" s="2"/>
      <c r="H295" s="2"/>
    </row>
    <row r="296" spans="6:8">
      <c r="F296" s="2"/>
      <c r="G296" s="2"/>
      <c r="H296" s="2"/>
    </row>
    <row r="297" spans="6:8">
      <c r="F297" s="2"/>
      <c r="G297" s="2"/>
      <c r="H297" s="2"/>
    </row>
    <row r="298" spans="6:8">
      <c r="F298" s="2"/>
      <c r="G298" s="2"/>
      <c r="H298" s="2"/>
    </row>
    <row r="299" spans="6:8">
      <c r="F299" s="2"/>
      <c r="G299" s="2"/>
      <c r="H299" s="2"/>
    </row>
    <row r="300" spans="6:8">
      <c r="F300" s="2"/>
      <c r="G300" s="2"/>
      <c r="H300" s="2"/>
    </row>
    <row r="301" spans="6:8">
      <c r="F301" s="2"/>
      <c r="G301" s="2"/>
      <c r="H301" s="2"/>
    </row>
    <row r="302" spans="6:8">
      <c r="F302" s="2"/>
      <c r="G302" s="2"/>
      <c r="H302" s="2"/>
    </row>
    <row r="303" spans="6:8">
      <c r="F303" s="2"/>
      <c r="G303" s="2"/>
      <c r="H303" s="2"/>
    </row>
    <row r="304" spans="6:8">
      <c r="F304" s="2"/>
      <c r="G304" s="2"/>
      <c r="H304" s="2"/>
    </row>
    <row r="305" spans="6:8">
      <c r="F305" s="2"/>
      <c r="G305" s="2"/>
      <c r="H305" s="2"/>
    </row>
    <row r="306" spans="6:8">
      <c r="F306" s="2"/>
      <c r="G306" s="2"/>
      <c r="H306" s="2"/>
    </row>
    <row r="307" spans="6:8">
      <c r="F307" s="2"/>
      <c r="G307" s="2"/>
      <c r="H307" s="2"/>
    </row>
    <row r="308" spans="6:8">
      <c r="F308" s="2"/>
      <c r="G308" s="2"/>
      <c r="H308" s="2"/>
    </row>
    <row r="309" spans="6:8">
      <c r="F309" s="2"/>
      <c r="G309" s="2"/>
      <c r="H309" s="2"/>
    </row>
    <row r="310" spans="6:8">
      <c r="F310" s="2"/>
      <c r="G310" s="2"/>
      <c r="H310" s="2"/>
    </row>
    <row r="311" spans="6:8">
      <c r="F311" s="2"/>
      <c r="G311" s="2"/>
      <c r="H311" s="2"/>
    </row>
    <row r="312" spans="6:8">
      <c r="F312" s="2"/>
      <c r="G312" s="2"/>
      <c r="H312" s="2"/>
    </row>
    <row r="313" spans="6:8">
      <c r="F313" s="2"/>
      <c r="G313" s="2"/>
      <c r="H313" s="2"/>
    </row>
    <row r="314" spans="6:8">
      <c r="F314" s="2"/>
      <c r="G314" s="2"/>
      <c r="H314" s="2"/>
    </row>
    <row r="315" spans="6:8">
      <c r="F315" s="2"/>
      <c r="G315" s="2"/>
      <c r="H315" s="2"/>
    </row>
    <row r="316" spans="6:8">
      <c r="F316" s="2"/>
      <c r="G316" s="2"/>
      <c r="H316" s="2"/>
    </row>
    <row r="317" spans="6:8">
      <c r="F317" s="2"/>
      <c r="G317" s="2"/>
      <c r="H317" s="2"/>
    </row>
    <row r="318" spans="6:8">
      <c r="F318" s="2"/>
      <c r="G318" s="2"/>
      <c r="H318" s="2"/>
    </row>
    <row r="319" spans="6:8">
      <c r="F319" s="2"/>
      <c r="G319" s="2"/>
      <c r="H319" s="2"/>
    </row>
    <row r="320" spans="6:8">
      <c r="F320" s="2"/>
      <c r="G320" s="2"/>
      <c r="H320" s="2"/>
    </row>
    <row r="321" spans="6:8">
      <c r="F321" s="2"/>
      <c r="G321" s="2"/>
      <c r="H321" s="2"/>
    </row>
    <row r="322" spans="6:8">
      <c r="F322" s="2"/>
      <c r="G322" s="2"/>
      <c r="H322" s="2"/>
    </row>
    <row r="323" spans="6:8">
      <c r="F323" s="2"/>
      <c r="G323" s="2"/>
      <c r="H323" s="2"/>
    </row>
    <row r="324" spans="6:8">
      <c r="F324" s="2"/>
      <c r="G324" s="2"/>
      <c r="H324" s="2"/>
    </row>
    <row r="325" spans="6:8">
      <c r="F325" s="2"/>
      <c r="G325" s="2"/>
      <c r="H325" s="2"/>
    </row>
    <row r="326" spans="6:8">
      <c r="F326" s="2"/>
      <c r="G326" s="2"/>
      <c r="H326" s="2"/>
    </row>
    <row r="327" spans="6:8">
      <c r="F327" s="2"/>
      <c r="G327" s="2"/>
      <c r="H327" s="2"/>
    </row>
    <row r="328" spans="6:8">
      <c r="F328" s="2"/>
      <c r="G328" s="2"/>
      <c r="H328" s="2"/>
    </row>
    <row r="329" spans="6:8">
      <c r="F329" s="2"/>
      <c r="G329" s="2"/>
      <c r="H329" s="2"/>
    </row>
    <row r="330" spans="6:8">
      <c r="F330" s="2"/>
      <c r="G330" s="2"/>
      <c r="H330" s="2"/>
    </row>
    <row r="331" spans="6:8">
      <c r="F331" s="2"/>
      <c r="G331" s="2"/>
      <c r="H331" s="2"/>
    </row>
    <row r="332" spans="6:8">
      <c r="F332" s="2"/>
      <c r="G332" s="2"/>
      <c r="H332" s="2"/>
    </row>
    <row r="333" spans="6:8">
      <c r="F333" s="2"/>
      <c r="G333" s="2"/>
      <c r="H333" s="2"/>
    </row>
    <row r="334" spans="6:8">
      <c r="F334" s="2"/>
      <c r="G334" s="2"/>
      <c r="H334" s="2"/>
    </row>
    <row r="335" spans="6:8">
      <c r="F335" s="2"/>
      <c r="G335" s="2"/>
      <c r="H335" s="2"/>
    </row>
    <row r="336" spans="6:8">
      <c r="F336" s="2"/>
      <c r="G336" s="2"/>
      <c r="H336" s="2"/>
    </row>
    <row r="337" spans="6:8">
      <c r="F337" s="2"/>
      <c r="G337" s="2"/>
      <c r="H337" s="2"/>
    </row>
    <row r="338" spans="6:8">
      <c r="F338" s="2"/>
      <c r="G338" s="2"/>
      <c r="H338" s="2"/>
    </row>
    <row r="339" spans="6:8">
      <c r="F339" s="2"/>
      <c r="G339" s="2"/>
      <c r="H339" s="2"/>
    </row>
    <row r="340" spans="6:8">
      <c r="F340" s="2"/>
      <c r="G340" s="2"/>
      <c r="H340" s="2"/>
    </row>
    <row r="341" spans="6:8">
      <c r="F341" s="2"/>
      <c r="G341" s="2"/>
      <c r="H341" s="2"/>
    </row>
    <row r="342" spans="6:8">
      <c r="F342" s="2"/>
      <c r="G342" s="2"/>
      <c r="H342" s="2"/>
    </row>
    <row r="343" spans="6:8">
      <c r="F343" s="2"/>
      <c r="G343" s="2"/>
      <c r="H343" s="2"/>
    </row>
    <row r="344" spans="6:8">
      <c r="F344" s="2"/>
      <c r="G344" s="2"/>
      <c r="H344" s="2"/>
    </row>
    <row r="345" spans="6:8">
      <c r="F345" s="2"/>
      <c r="G345" s="2"/>
      <c r="H345" s="2"/>
    </row>
    <row r="346" spans="6:8">
      <c r="F346" s="2"/>
      <c r="G346" s="2"/>
      <c r="H346" s="2"/>
    </row>
    <row r="347" spans="6:8">
      <c r="F347" s="2"/>
      <c r="G347" s="2"/>
      <c r="H347" s="2"/>
    </row>
    <row r="348" spans="6:8">
      <c r="F348" s="2"/>
      <c r="G348" s="2"/>
      <c r="H348" s="2"/>
    </row>
    <row r="349" spans="6:8">
      <c r="F349" s="2"/>
      <c r="G349" s="2"/>
      <c r="H349" s="2"/>
    </row>
    <row r="350" spans="6:8">
      <c r="F350" s="2"/>
      <c r="G350" s="2"/>
      <c r="H350" s="2"/>
    </row>
    <row r="351" spans="6:8">
      <c r="F351" s="2"/>
      <c r="G351" s="2"/>
      <c r="H351" s="2"/>
    </row>
    <row r="352" spans="6:8">
      <c r="F352" s="2"/>
      <c r="G352" s="2"/>
      <c r="H352" s="2"/>
    </row>
    <row r="353" spans="6:8">
      <c r="F353" s="2"/>
      <c r="G353" s="2"/>
      <c r="H353" s="2"/>
    </row>
    <row r="354" spans="6:8">
      <c r="F354" s="2"/>
      <c r="G354" s="2"/>
      <c r="H354" s="2"/>
    </row>
    <row r="355" spans="6:8">
      <c r="F355" s="2"/>
      <c r="G355" s="2"/>
      <c r="H355" s="2"/>
    </row>
    <row r="356" spans="6:8">
      <c r="F356" s="2"/>
      <c r="G356" s="2"/>
      <c r="H356" s="2"/>
    </row>
    <row r="357" spans="6:8">
      <c r="F357" s="2"/>
      <c r="G357" s="2"/>
      <c r="H357" s="2"/>
    </row>
    <row r="358" spans="6:8">
      <c r="F358" s="2"/>
      <c r="G358" s="2"/>
      <c r="H358" s="2"/>
    </row>
    <row r="359" spans="6:8">
      <c r="F359" s="2"/>
      <c r="G359" s="2"/>
      <c r="H359" s="2"/>
    </row>
    <row r="360" spans="6:8">
      <c r="F360" s="2"/>
      <c r="G360" s="2"/>
      <c r="H360" s="2"/>
    </row>
    <row r="361" spans="6:8">
      <c r="F361" s="2"/>
      <c r="G361" s="2"/>
      <c r="H361" s="2"/>
    </row>
    <row r="362" spans="6:8">
      <c r="F362" s="2"/>
      <c r="G362" s="2"/>
      <c r="H362" s="2"/>
    </row>
    <row r="363" spans="6:8">
      <c r="F363" s="2"/>
      <c r="G363" s="2"/>
      <c r="H363" s="2"/>
    </row>
    <row r="364" spans="6:8">
      <c r="F364" s="2"/>
      <c r="G364" s="2"/>
      <c r="H364" s="2"/>
    </row>
    <row r="365" spans="6:8">
      <c r="F365" s="2"/>
      <c r="G365" s="2"/>
      <c r="H365" s="2"/>
    </row>
    <row r="366" spans="6:8">
      <c r="F366" s="2"/>
      <c r="G366" s="2"/>
      <c r="H366" s="2"/>
    </row>
    <row r="367" spans="6:8">
      <c r="F367" s="2"/>
      <c r="G367" s="2"/>
      <c r="H367" s="2"/>
    </row>
    <row r="368" spans="6:8">
      <c r="F368" s="2"/>
      <c r="G368" s="2"/>
      <c r="H368" s="2"/>
    </row>
    <row r="369" spans="6:8">
      <c r="F369" s="2"/>
      <c r="G369" s="2"/>
      <c r="H369" s="2"/>
    </row>
    <row r="370" spans="6:8">
      <c r="F370" s="2"/>
      <c r="G370" s="2"/>
      <c r="H370" s="2"/>
    </row>
    <row r="371" spans="6:8">
      <c r="F371" s="2"/>
      <c r="G371" s="2"/>
      <c r="H371" s="2"/>
    </row>
    <row r="372" spans="6:8">
      <c r="F372" s="2"/>
      <c r="G372" s="2"/>
      <c r="H372" s="2"/>
    </row>
    <row r="373" spans="6:8">
      <c r="F373" s="2"/>
      <c r="G373" s="2"/>
      <c r="H373" s="2"/>
    </row>
    <row r="374" spans="6:8">
      <c r="F374" s="2"/>
      <c r="G374" s="2"/>
      <c r="H374" s="2"/>
    </row>
    <row r="375" spans="6:8">
      <c r="F375" s="2"/>
      <c r="G375" s="2"/>
      <c r="H375" s="2"/>
    </row>
    <row r="376" spans="6:8">
      <c r="F376" s="2"/>
      <c r="G376" s="2"/>
      <c r="H376" s="2"/>
    </row>
    <row r="377" spans="6:8">
      <c r="F377" s="2"/>
      <c r="G377" s="2"/>
      <c r="H377" s="2"/>
    </row>
    <row r="378" spans="6:8">
      <c r="F378" s="2"/>
      <c r="G378" s="2"/>
      <c r="H378" s="2"/>
    </row>
    <row r="379" spans="6:8">
      <c r="F379" s="2"/>
      <c r="G379" s="2"/>
      <c r="H379" s="2"/>
    </row>
    <row r="380" spans="6:8">
      <c r="F380" s="2"/>
      <c r="G380" s="2"/>
      <c r="H380" s="2"/>
    </row>
    <row r="381" spans="6:8">
      <c r="F381" s="2"/>
      <c r="G381" s="2"/>
      <c r="H381" s="2"/>
    </row>
    <row r="382" spans="6:8">
      <c r="F382" s="2"/>
      <c r="G382" s="2"/>
      <c r="H382" s="2"/>
    </row>
    <row r="383" spans="6:8">
      <c r="F383" s="2"/>
      <c r="G383" s="2"/>
      <c r="H383" s="2"/>
    </row>
    <row r="384" spans="6:8">
      <c r="F384" s="2"/>
      <c r="G384" s="2"/>
      <c r="H384" s="2"/>
    </row>
    <row r="385" spans="6:8">
      <c r="F385" s="2"/>
      <c r="G385" s="2"/>
      <c r="H385" s="2"/>
    </row>
    <row r="386" spans="6:8">
      <c r="F386" s="2"/>
      <c r="G386" s="2"/>
      <c r="H386" s="2"/>
    </row>
    <row r="387" spans="6:8">
      <c r="F387" s="2"/>
      <c r="G387" s="2"/>
      <c r="H387" s="2"/>
    </row>
    <row r="388" spans="6:8">
      <c r="F388" s="2"/>
      <c r="G388" s="2"/>
      <c r="H388" s="2"/>
    </row>
    <row r="389" spans="6:8">
      <c r="F389" s="2"/>
      <c r="G389" s="2"/>
      <c r="H389" s="2"/>
    </row>
    <row r="390" spans="6:8">
      <c r="F390" s="2"/>
      <c r="G390" s="2"/>
      <c r="H390" s="2"/>
    </row>
    <row r="391" spans="6:8">
      <c r="F391" s="2"/>
      <c r="G391" s="2"/>
      <c r="H391" s="2"/>
    </row>
    <row r="392" spans="6:8">
      <c r="F392" s="2"/>
      <c r="G392" s="2"/>
      <c r="H392" s="2"/>
    </row>
    <row r="393" spans="6:8">
      <c r="F393" s="2"/>
      <c r="G393" s="2"/>
      <c r="H393" s="2"/>
    </row>
    <row r="394" spans="6:8">
      <c r="F394" s="2"/>
      <c r="G394" s="2"/>
      <c r="H394" s="2"/>
    </row>
    <row r="395" spans="6:8">
      <c r="F395" s="2"/>
      <c r="G395" s="2"/>
      <c r="H395" s="2"/>
    </row>
    <row r="396" spans="6:8">
      <c r="F396" s="2"/>
      <c r="G396" s="2"/>
      <c r="H396" s="2"/>
    </row>
    <row r="397" spans="6:8">
      <c r="F397" s="2"/>
      <c r="G397" s="2"/>
      <c r="H397" s="2"/>
    </row>
    <row r="398" spans="6:8">
      <c r="F398" s="2"/>
      <c r="G398" s="2"/>
      <c r="H398" s="2"/>
    </row>
    <row r="399" spans="6:8">
      <c r="F399" s="2"/>
      <c r="G399" s="2"/>
      <c r="H399" s="2"/>
    </row>
    <row r="400" spans="6:8">
      <c r="F400" s="2"/>
      <c r="G400" s="2"/>
      <c r="H400" s="2"/>
    </row>
    <row r="401" spans="6:8">
      <c r="F401" s="2"/>
      <c r="G401" s="2"/>
      <c r="H401" s="2"/>
    </row>
    <row r="402" spans="6:8">
      <c r="F402" s="2"/>
      <c r="G402" s="2"/>
      <c r="H402" s="2"/>
    </row>
    <row r="403" spans="6:8">
      <c r="F403" s="2"/>
      <c r="G403" s="2"/>
      <c r="H403" s="2"/>
    </row>
    <row r="404" spans="6:8">
      <c r="F404" s="2"/>
      <c r="G404" s="2"/>
      <c r="H404" s="2"/>
    </row>
    <row r="405" spans="6:8">
      <c r="F405" s="2"/>
      <c r="G405" s="2"/>
      <c r="H405" s="2"/>
    </row>
    <row r="406" spans="6:8">
      <c r="F406" s="2"/>
      <c r="G406" s="2"/>
      <c r="H406" s="2"/>
    </row>
    <row r="407" spans="6:8">
      <c r="F407" s="2"/>
      <c r="G407" s="2"/>
      <c r="H407" s="2"/>
    </row>
    <row r="408" spans="6:8">
      <c r="F408" s="2"/>
      <c r="G408" s="2"/>
      <c r="H408" s="2"/>
    </row>
    <row r="409" spans="6:8">
      <c r="F409" s="2"/>
      <c r="G409" s="2"/>
      <c r="H409" s="2"/>
    </row>
    <row r="410" spans="6:8">
      <c r="F410" s="2"/>
      <c r="G410" s="2"/>
      <c r="H410" s="2"/>
    </row>
    <row r="411" spans="6:8">
      <c r="F411" s="2"/>
      <c r="G411" s="2"/>
      <c r="H411" s="2"/>
    </row>
    <row r="412" spans="6:8">
      <c r="F412" s="2"/>
      <c r="G412" s="2"/>
      <c r="H412" s="2"/>
    </row>
    <row r="413" spans="6:8">
      <c r="F413" s="2"/>
      <c r="G413" s="2"/>
      <c r="H413" s="2"/>
    </row>
    <row r="414" spans="6:8">
      <c r="F414" s="2"/>
      <c r="G414" s="2"/>
      <c r="H414" s="2"/>
    </row>
    <row r="415" spans="6:8">
      <c r="F415" s="2"/>
      <c r="G415" s="2"/>
      <c r="H415" s="2"/>
    </row>
    <row r="416" spans="6:8">
      <c r="F416" s="2"/>
      <c r="G416" s="2"/>
      <c r="H416" s="2"/>
    </row>
    <row r="417" spans="6:8">
      <c r="F417" s="2"/>
      <c r="G417" s="2"/>
      <c r="H417" s="2"/>
    </row>
    <row r="418" spans="6:8">
      <c r="F418" s="2"/>
      <c r="G418" s="2"/>
      <c r="H418" s="2"/>
    </row>
    <row r="419" spans="6:8">
      <c r="F419" s="2"/>
      <c r="G419" s="2"/>
      <c r="H419" s="2"/>
    </row>
  </sheetData>
  <mergeCells count="1">
    <mergeCell ref="A1:E1"/>
  </mergeCells>
  <conditionalFormatting sqref="E2:E26 E29:E1048576 F28:H419 A27:E28">
    <cfRule type="cellIs" dxfId="2" priority="1" operator="equal">
      <formula>"High"</formula>
    </cfRule>
    <cfRule type="cellIs" dxfId="1" priority="2" operator="equal">
      <formula>"Medium"</formula>
    </cfRule>
  </conditionalFormatting>
  <conditionalFormatting sqref="A3:C25">
    <cfRule type="expression" dxfId="0" priority="3">
      <formula>COUNTBLANK($D3:$D3)=2</formula>
    </cfRule>
  </conditionalFormatting>
  <dataValidations count="2">
    <dataValidation type="list" allowBlank="1" showInputMessage="1" showErrorMessage="1" sqref="D3:D25" xr:uid="{41EE1A73-C3D8-4723-8A69-A1CA6F4D67D7}">
      <formula1>val_SP</formula1>
    </dataValidation>
    <dataValidation type="list" allowBlank="1" showInputMessage="1" showErrorMessage="1" sqref="E3:E25" xr:uid="{172A342A-8BE4-4F94-B34A-454A7F5B0CA9}">
      <formula1>TechnicalComplexity</formula1>
    </dataValidation>
  </dataValidations>
  <printOptions horizontalCentered="1" verticalCentered="1"/>
  <pageMargins left="0.25" right="0.25" top="0.25" bottom="0.5" header="0.5" footer="0.25"/>
  <pageSetup orientation="landscape" r:id="rId1"/>
  <headerFooter>
    <oddFooter>&amp;R&amp;P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7B85-5933-427A-9101-8558566AAFE1}">
  <dimension ref="A1:K24"/>
  <sheetViews>
    <sheetView zoomScale="130" zoomScaleNormal="130" workbookViewId="0">
      <selection activeCell="B14" sqref="B14"/>
    </sheetView>
  </sheetViews>
  <sheetFormatPr baseColWidth="10" defaultRowHeight="14.4"/>
  <cols>
    <col min="1" max="1" width="29.33203125" customWidth="1"/>
    <col min="3" max="3" width="23.109375" customWidth="1"/>
  </cols>
  <sheetData>
    <row r="1" spans="1:11" ht="15" thickBot="1"/>
    <row r="2" spans="1:11" ht="16.2" thickBot="1">
      <c r="A2" s="47" t="s">
        <v>63</v>
      </c>
      <c r="B2" s="48"/>
      <c r="C2" s="48"/>
      <c r="D2" s="53"/>
      <c r="E2" s="53"/>
    </row>
    <row r="5" spans="1:11">
      <c r="A5" s="64" t="s">
        <v>65</v>
      </c>
      <c r="B5" s="65">
        <v>90000000</v>
      </c>
      <c r="C5" s="66">
        <f>B5-C24</f>
        <v>46000000</v>
      </c>
    </row>
    <row r="7" spans="1:11">
      <c r="B7" s="54" t="s">
        <v>54</v>
      </c>
      <c r="C7" s="54" t="s">
        <v>29</v>
      </c>
    </row>
    <row r="9" spans="1:11">
      <c r="A9" s="60" t="s">
        <v>56</v>
      </c>
      <c r="B9" s="60"/>
      <c r="C9" s="60"/>
    </row>
    <row r="10" spans="1:11" ht="31.2" customHeight="1">
      <c r="A10" s="67" t="s">
        <v>49</v>
      </c>
      <c r="B10" s="68">
        <v>200000</v>
      </c>
      <c r="C10" s="68">
        <f>B10*30</f>
        <v>6000000</v>
      </c>
      <c r="H10" s="52" t="s">
        <v>51</v>
      </c>
      <c r="I10" s="52"/>
      <c r="J10" s="52"/>
      <c r="K10" s="52"/>
    </row>
    <row r="11" spans="1:11">
      <c r="A11" s="67" t="s">
        <v>47</v>
      </c>
      <c r="B11" s="68">
        <v>250000</v>
      </c>
      <c r="C11" s="68">
        <f t="shared" ref="C11:C13" si="0">B11*30</f>
        <v>7500000</v>
      </c>
      <c r="H11" s="52"/>
      <c r="I11" s="52"/>
      <c r="J11" s="52"/>
      <c r="K11" s="52"/>
    </row>
    <row r="12" spans="1:11">
      <c r="A12" s="67" t="s">
        <v>48</v>
      </c>
      <c r="B12" s="68">
        <v>250000</v>
      </c>
      <c r="C12" s="68">
        <f t="shared" si="0"/>
        <v>7500000</v>
      </c>
      <c r="H12" s="52" t="s">
        <v>61</v>
      </c>
      <c r="I12" s="52"/>
      <c r="J12" s="52"/>
      <c r="K12" s="52"/>
    </row>
    <row r="13" spans="1:11">
      <c r="A13" s="67" t="s">
        <v>46</v>
      </c>
      <c r="B13" s="68">
        <v>200000</v>
      </c>
      <c r="C13" s="68">
        <f t="shared" si="0"/>
        <v>6000000</v>
      </c>
    </row>
    <row r="14" spans="1:11">
      <c r="A14" s="69" t="s">
        <v>64</v>
      </c>
      <c r="B14" s="68"/>
      <c r="C14" s="68"/>
    </row>
    <row r="15" spans="1:11">
      <c r="A15" s="55"/>
      <c r="B15" s="55"/>
      <c r="C15" s="56"/>
    </row>
    <row r="16" spans="1:11">
      <c r="A16" s="61" t="s">
        <v>57</v>
      </c>
      <c r="B16" s="62"/>
      <c r="C16" s="63"/>
    </row>
    <row r="17" spans="1:3">
      <c r="A17" s="67" t="s">
        <v>62</v>
      </c>
      <c r="B17" s="68">
        <v>2500000</v>
      </c>
      <c r="C17" s="68">
        <f>B17*2</f>
        <v>5000000</v>
      </c>
    </row>
    <row r="18" spans="1:3">
      <c r="A18" s="67" t="s">
        <v>53</v>
      </c>
      <c r="B18" s="70"/>
      <c r="C18" s="68"/>
    </row>
    <row r="19" spans="1:3">
      <c r="A19" s="67" t="s">
        <v>58</v>
      </c>
      <c r="B19" s="68">
        <v>12000000</v>
      </c>
      <c r="C19" s="68">
        <v>12000000</v>
      </c>
    </row>
    <row r="20" spans="1:3">
      <c r="A20" s="67" t="s">
        <v>59</v>
      </c>
      <c r="B20" s="70"/>
      <c r="C20" s="68"/>
    </row>
    <row r="21" spans="1:3">
      <c r="A21" s="67" t="s">
        <v>60</v>
      </c>
      <c r="B21" s="70"/>
      <c r="C21" s="68"/>
    </row>
    <row r="22" spans="1:3">
      <c r="A22" s="67"/>
      <c r="B22" s="70"/>
      <c r="C22" s="68"/>
    </row>
    <row r="23" spans="1:3">
      <c r="A23" s="67"/>
      <c r="B23" s="67"/>
      <c r="C23" s="71"/>
    </row>
    <row r="24" spans="1:3" ht="16.2" thickBot="1">
      <c r="A24" s="57" t="s">
        <v>29</v>
      </c>
      <c r="B24" s="58"/>
      <c r="C24" s="59">
        <f>SUM(C10:C23)</f>
        <v>44000000</v>
      </c>
    </row>
  </sheetData>
  <mergeCells count="2">
    <mergeCell ref="A2:C2"/>
    <mergeCell ref="A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B1" sqref="B1"/>
    </sheetView>
  </sheetViews>
  <sheetFormatPr baseColWidth="10" defaultColWidth="8.6640625" defaultRowHeight="13.8"/>
  <cols>
    <col min="1" max="1" width="31.44140625" style="5" bestFit="1" customWidth="1"/>
    <col min="2" max="2" width="8.109375" style="5" bestFit="1" customWidth="1"/>
    <col min="3" max="3" width="6.109375" style="5" bestFit="1" customWidth="1"/>
    <col min="4" max="4" width="6.6640625" style="5" bestFit="1" customWidth="1"/>
    <col min="5" max="5" width="6.109375" style="5" bestFit="1" customWidth="1"/>
    <col min="6" max="6" width="8.6640625" style="5" customWidth="1"/>
    <col min="7" max="16384" width="8.6640625" style="5"/>
  </cols>
  <sheetData>
    <row r="1" spans="1:5">
      <c r="A1" s="38" t="s">
        <v>4</v>
      </c>
      <c r="B1" s="5" t="s">
        <v>30</v>
      </c>
    </row>
    <row r="2" spans="1:5" ht="14.4" thickBot="1"/>
    <row r="3" spans="1:5" ht="55.8" thickBot="1">
      <c r="A3" s="11" t="s">
        <v>35</v>
      </c>
      <c r="B3" s="19" t="s">
        <v>31</v>
      </c>
      <c r="C3" s="20" t="s">
        <v>32</v>
      </c>
      <c r="D3" s="20" t="s">
        <v>33</v>
      </c>
      <c r="E3" s="21" t="s">
        <v>34</v>
      </c>
    </row>
    <row r="4" spans="1:5" ht="14.4" thickTop="1">
      <c r="A4" s="39" t="s">
        <v>7</v>
      </c>
      <c r="B4" s="40">
        <v>0.19575699132111862</v>
      </c>
      <c r="C4" s="41">
        <v>75.650000000000006</v>
      </c>
      <c r="D4" s="41">
        <v>101.5</v>
      </c>
      <c r="E4" s="42">
        <v>127.35</v>
      </c>
    </row>
    <row r="5" spans="1:5">
      <c r="A5" s="39" t="s">
        <v>8</v>
      </c>
      <c r="B5" s="40">
        <v>0.27193828351012539</v>
      </c>
      <c r="C5" s="41">
        <v>83.8</v>
      </c>
      <c r="D5" s="41">
        <v>141</v>
      </c>
      <c r="E5" s="42">
        <v>198.2</v>
      </c>
    </row>
    <row r="6" spans="1:5">
      <c r="A6" s="43" t="s">
        <v>12</v>
      </c>
      <c r="B6" s="40">
        <v>0.53230472516875604</v>
      </c>
      <c r="C6" s="41">
        <v>69.7</v>
      </c>
      <c r="D6" s="41">
        <v>276</v>
      </c>
      <c r="E6" s="42">
        <v>482.3</v>
      </c>
    </row>
    <row r="7" spans="1:5">
      <c r="A7" s="25" t="s">
        <v>29</v>
      </c>
      <c r="B7" s="22">
        <v>1</v>
      </c>
      <c r="C7" s="23">
        <v>229.14999999999998</v>
      </c>
      <c r="D7" s="23">
        <v>518.5</v>
      </c>
      <c r="E7" s="24">
        <v>807.84999999999991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D4" sqref="D4"/>
    </sheetView>
  </sheetViews>
  <sheetFormatPr baseColWidth="10" defaultColWidth="8.6640625" defaultRowHeight="13.8"/>
  <cols>
    <col min="1" max="1" width="31.44140625" style="5" bestFit="1" customWidth="1"/>
    <col min="2" max="2" width="8.109375" style="5" bestFit="1" customWidth="1"/>
    <col min="3" max="3" width="6.109375" style="5" bestFit="1" customWidth="1"/>
    <col min="4" max="4" width="6.6640625" style="5" bestFit="1" customWidth="1"/>
    <col min="5" max="5" width="6.109375" style="5" bestFit="1" customWidth="1"/>
    <col min="6" max="6" width="9.44140625" style="5" bestFit="1" customWidth="1"/>
    <col min="7" max="16384" width="8.6640625" style="5"/>
  </cols>
  <sheetData>
    <row r="1" spans="1:5">
      <c r="A1" s="38" t="s">
        <v>4</v>
      </c>
      <c r="B1" s="5" t="s">
        <v>30</v>
      </c>
    </row>
    <row r="3" spans="1:5" ht="55.2">
      <c r="A3" s="11" t="s">
        <v>36</v>
      </c>
      <c r="B3" s="12" t="s">
        <v>31</v>
      </c>
      <c r="C3" s="13" t="s">
        <v>32</v>
      </c>
      <c r="D3" s="13" t="s">
        <v>33</v>
      </c>
      <c r="E3" s="14" t="s">
        <v>34</v>
      </c>
    </row>
    <row r="4" spans="1:5">
      <c r="A4" s="39" t="s">
        <v>7</v>
      </c>
      <c r="B4" s="40">
        <v>0.42912246865959497</v>
      </c>
      <c r="C4" s="41">
        <v>117.3</v>
      </c>
      <c r="D4" s="41">
        <v>222.5</v>
      </c>
      <c r="E4" s="42">
        <v>327.7</v>
      </c>
    </row>
    <row r="5" spans="1:5">
      <c r="A5" s="39" t="s">
        <v>8</v>
      </c>
      <c r="B5" s="40">
        <v>0.49373191899710706</v>
      </c>
      <c r="C5" s="41">
        <v>103.85</v>
      </c>
      <c r="D5" s="41">
        <v>256</v>
      </c>
      <c r="E5" s="42">
        <v>408.15</v>
      </c>
    </row>
    <row r="6" spans="1:5">
      <c r="A6" s="43" t="s">
        <v>12</v>
      </c>
      <c r="B6" s="44">
        <v>7.7145612343297976E-2</v>
      </c>
      <c r="C6" s="45">
        <v>8</v>
      </c>
      <c r="D6" s="45">
        <v>40</v>
      </c>
      <c r="E6" s="46">
        <v>72</v>
      </c>
    </row>
    <row r="7" spans="1:5">
      <c r="A7" s="18" t="s">
        <v>29</v>
      </c>
      <c r="B7" s="15">
        <v>1</v>
      </c>
      <c r="C7" s="16">
        <v>229.14999999999998</v>
      </c>
      <c r="D7" s="16">
        <v>518.5</v>
      </c>
      <c r="E7" s="17">
        <v>807.84999999999991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E37CDC9AEA44CBD8F091652A6C5E4" ma:contentTypeVersion="11" ma:contentTypeDescription="Create a new document." ma:contentTypeScope="" ma:versionID="9de09e14d18b2e0769f00e11c33b035a">
  <xsd:schema xmlns:xsd="http://www.w3.org/2001/XMLSchema" xmlns:xs="http://www.w3.org/2001/XMLSchema" xmlns:p="http://schemas.microsoft.com/office/2006/metadata/properties" xmlns:ns2="7bb3299b-b075-41c7-bb54-99fc85b15d4f" xmlns:ns3="08caf6cd-a550-4dce-b6c8-fe9b0e6bc4e3" targetNamespace="http://schemas.microsoft.com/office/2006/metadata/properties" ma:root="true" ma:fieldsID="81a6a9a579b993e4978c34f4e71e25a5" ns2:_="" ns3:_="">
    <xsd:import namespace="7bb3299b-b075-41c7-bb54-99fc85b15d4f"/>
    <xsd:import namespace="08caf6cd-a550-4dce-b6c8-fe9b0e6bc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b3299b-b075-41c7-bb54-99fc85b15d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af6cd-a550-4dce-b6c8-fe9b0e6bc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10AAFC-6E8A-4F4B-91D1-B1DB8DD713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916E78-7E6F-4E04-B4AA-CEC365547D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b3299b-b075-41c7-bb54-99fc85b15d4f"/>
    <ds:schemaRef ds:uri="08caf6cd-a550-4dce-b6c8-fe9b0e6bc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49F70C-261C-4E13-A8B5-F2B201AA0A0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Features</vt:lpstr>
      <vt:lpstr>Costs</vt:lpstr>
      <vt:lpstr>byUncertainty</vt:lpstr>
      <vt:lpstr>byComplexity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ABC-Envisioning Workshop</dc:title>
  <dc:subject/>
  <dc:creator>George.Anghelache@endava.com</dc:creator>
  <cp:keywords/>
  <dc:description/>
  <cp:lastModifiedBy>Paola Andrea Noreña Cardona</cp:lastModifiedBy>
  <cp:revision/>
  <cp:lastPrinted>2021-11-25T22:21:51Z</cp:lastPrinted>
  <dcterms:created xsi:type="dcterms:W3CDTF">2014-02-24T14:50:31Z</dcterms:created>
  <dcterms:modified xsi:type="dcterms:W3CDTF">2023-09-20T02:54:24Z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0x0101006DEE37CDC9AEA44CBD8F091652A6C5E4</vt:lpwstr>
  </property>
  <property fmtid="{D5CDD505-2E9C-101B-9397-08002B2CF9AE}" pid="4" name="_dlc_DocIdItemGuid">
    <vt:lpwstr>3cb6963b-357a-4674-a175-746914f4ae16</vt:lpwstr>
  </property>
  <property fmtid="{D5CDD505-2E9C-101B-9397-08002B2CF9AE}" pid="5" name="SV_HIDDEN_GRID_QUERY_LIST_4F35BF76-6C0D-4D9B-82B2-816C12CF3733">
    <vt:lpwstr>empty_477D106A-C0D6-4607-AEBD-E2C9D60EA279</vt:lpwstr>
  </property>
</Properties>
</file>